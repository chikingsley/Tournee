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mm\Dropbox\Bowling\2025-26\Spreadsheets\"/>
    </mc:Choice>
  </mc:AlternateContent>
  <xr:revisionPtr revIDLastSave="0" documentId="13_ncr:1_{86673469-2CAA-420D-B602-7D44AF66D183}" xr6:coauthVersionLast="47" xr6:coauthVersionMax="47" xr10:uidLastSave="{00000000-0000-0000-0000-000000000000}"/>
  <bookViews>
    <workbookView xWindow="-120" yWindow="-120" windowWidth="24240" windowHeight="13020" tabRatio="807" activeTab="1" xr2:uid="{843A974C-ACC3-4B3E-A298-A1146817A7D7}"/>
  </bookViews>
  <sheets>
    <sheet name="1st Qtr" sheetId="28" r:id="rId1"/>
    <sheet name="2nd Qtr" sheetId="29" r:id="rId2"/>
    <sheet name="3rd Qtr" sheetId="31" r:id="rId3"/>
    <sheet name="4th Qtr" sheetId="30" r:id="rId4"/>
    <sheet name="Summary" sheetId="32" r:id="rId5"/>
    <sheet name="1" sheetId="1" r:id="rId6"/>
    <sheet name="2" sheetId="2" r:id="rId7"/>
    <sheet name="3" sheetId="3" r:id="rId8"/>
    <sheet name="4" sheetId="14" r:id="rId9"/>
    <sheet name="5" sheetId="5" r:id="rId10"/>
    <sheet name="6" sheetId="6" r:id="rId11"/>
    <sheet name="7" sheetId="7" r:id="rId12"/>
    <sheet name="8" sheetId="8" r:id="rId13"/>
    <sheet name="9" sheetId="9" r:id="rId14"/>
    <sheet name="10" sheetId="10" r:id="rId15"/>
    <sheet name="11" sheetId="11" r:id="rId16"/>
    <sheet name="20" sheetId="24" r:id="rId17"/>
    <sheet name="13" sheetId="13" r:id="rId18"/>
    <sheet name="14" sheetId="15" r:id="rId19"/>
    <sheet name="15" sheetId="16" state="hidden" r:id="rId20"/>
    <sheet name="16" sheetId="4" r:id="rId21"/>
    <sheet name="17" sheetId="21" r:id="rId22"/>
    <sheet name="18" sheetId="22" r:id="rId23"/>
    <sheet name="19" sheetId="23" r:id="rId24"/>
    <sheet name="12" sheetId="12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" i="29" l="1"/>
  <c r="O26" i="29"/>
  <c r="O24" i="29"/>
  <c r="K21" i="29"/>
  <c r="B25" i="22"/>
  <c r="B22" i="22"/>
  <c r="B23" i="22"/>
  <c r="AO18" i="28"/>
  <c r="AO16" i="28"/>
  <c r="AI10" i="28"/>
  <c r="AI19" i="28"/>
  <c r="AF24" i="28"/>
  <c r="B21" i="7"/>
  <c r="AE3" i="28"/>
  <c r="F9" i="1"/>
  <c r="AA24" i="28"/>
  <c r="AA12" i="28"/>
  <c r="D25" i="2"/>
  <c r="D26" i="2"/>
  <c r="D26" i="3"/>
  <c r="D22" i="14"/>
  <c r="D26" i="5"/>
  <c r="D26" i="6"/>
  <c r="D26" i="7"/>
  <c r="D23" i="8"/>
  <c r="D24" i="9"/>
  <c r="D25" i="9"/>
  <c r="D26" i="9"/>
  <c r="D26" i="10"/>
  <c r="D26" i="11"/>
  <c r="D22" i="12"/>
  <c r="D23" i="12"/>
  <c r="D24" i="12"/>
  <c r="D25" i="12"/>
  <c r="D26" i="12"/>
  <c r="D22" i="13"/>
  <c r="D24" i="13"/>
  <c r="D26" i="13"/>
  <c r="D22" i="15"/>
  <c r="D22" i="16"/>
  <c r="D23" i="16"/>
  <c r="D24" i="16"/>
  <c r="D25" i="16"/>
  <c r="D26" i="16"/>
  <c r="D26" i="4"/>
  <c r="D26" i="21"/>
  <c r="D24" i="22"/>
  <c r="D22" i="23"/>
  <c r="D23" i="23"/>
  <c r="D24" i="23"/>
  <c r="D25" i="23"/>
  <c r="D26" i="23"/>
  <c r="D22" i="24"/>
  <c r="D23" i="24"/>
  <c r="D24" i="24"/>
  <c r="D25" i="24"/>
  <c r="D26" i="24"/>
  <c r="D21" i="3"/>
  <c r="D21" i="12"/>
  <c r="D21" i="13"/>
  <c r="D21" i="23"/>
  <c r="D21" i="24"/>
  <c r="S24" i="28"/>
  <c r="S25" i="28"/>
  <c r="B24" i="24"/>
  <c r="B23" i="24"/>
  <c r="B22" i="24"/>
  <c r="B21" i="24"/>
  <c r="O15" i="28"/>
  <c r="O3" i="28"/>
  <c r="O4" i="28"/>
  <c r="B25" i="7"/>
  <c r="C6" i="32"/>
  <c r="C14" i="32"/>
  <c r="B24" i="22"/>
  <c r="B25" i="21"/>
  <c r="B25" i="16"/>
  <c r="B22" i="13"/>
  <c r="B24" i="7"/>
  <c r="B23" i="7"/>
  <c r="B22" i="7"/>
  <c r="B22" i="14"/>
  <c r="B22" i="1"/>
  <c r="B26" i="14"/>
  <c r="B25" i="14"/>
  <c r="B23" i="8"/>
  <c r="B21" i="1"/>
  <c r="B7" i="16"/>
  <c r="J28" i="32"/>
  <c r="I28" i="32"/>
  <c r="J14" i="32"/>
  <c r="I14" i="32"/>
  <c r="D28" i="32"/>
  <c r="C28" i="32"/>
  <c r="D14" i="32"/>
  <c r="E4" i="32"/>
  <c r="K28" i="32"/>
  <c r="K26" i="32"/>
  <c r="K25" i="32"/>
  <c r="K24" i="32"/>
  <c r="K23" i="32"/>
  <c r="K22" i="32"/>
  <c r="K21" i="32"/>
  <c r="K20" i="32"/>
  <c r="K19" i="32"/>
  <c r="K18" i="32"/>
  <c r="K14" i="32"/>
  <c r="K12" i="32"/>
  <c r="K11" i="32"/>
  <c r="K10" i="32"/>
  <c r="K9" i="32"/>
  <c r="K8" i="32"/>
  <c r="K7" i="32"/>
  <c r="K6" i="32"/>
  <c r="K5" i="32"/>
  <c r="K4" i="32"/>
  <c r="E12" i="32"/>
  <c r="E11" i="32"/>
  <c r="E10" i="32"/>
  <c r="E9" i="32"/>
  <c r="E8" i="32"/>
  <c r="E7" i="32"/>
  <c r="E5" i="32"/>
  <c r="E28" i="32"/>
  <c r="E26" i="32"/>
  <c r="E25" i="32"/>
  <c r="E24" i="32"/>
  <c r="E23" i="32"/>
  <c r="E22" i="32"/>
  <c r="E21" i="32"/>
  <c r="E20" i="32"/>
  <c r="E19" i="32"/>
  <c r="E18" i="32"/>
  <c r="B18" i="32"/>
  <c r="B19" i="32" s="1"/>
  <c r="B20" i="32" s="1"/>
  <c r="B21" i="32" s="1"/>
  <c r="B22" i="32" s="1"/>
  <c r="B23" i="32" s="1"/>
  <c r="B24" i="32" s="1"/>
  <c r="B25" i="32" s="1"/>
  <c r="B26" i="32" s="1"/>
  <c r="H4" i="32" s="1"/>
  <c r="H5" i="32" s="1"/>
  <c r="H6" i="32" s="1"/>
  <c r="H7" i="32" s="1"/>
  <c r="H8" i="32" s="1"/>
  <c r="H9" i="32" s="1"/>
  <c r="H10" i="32" s="1"/>
  <c r="H11" i="32" s="1"/>
  <c r="H12" i="32" s="1"/>
  <c r="H18" i="32" s="1"/>
  <c r="H19" i="32" s="1"/>
  <c r="H20" i="32" s="1"/>
  <c r="H21" i="32" s="1"/>
  <c r="H22" i="32" s="1"/>
  <c r="H23" i="32" s="1"/>
  <c r="H24" i="32" s="1"/>
  <c r="H25" i="32" s="1"/>
  <c r="H26" i="32" s="1"/>
  <c r="C25" i="28"/>
  <c r="C26" i="28" s="1"/>
  <c r="AI28" i="30"/>
  <c r="AE28" i="30"/>
  <c r="AA28" i="30"/>
  <c r="W28" i="30"/>
  <c r="S28" i="30"/>
  <c r="O28" i="30"/>
  <c r="K28" i="30"/>
  <c r="G28" i="30"/>
  <c r="C28" i="30"/>
  <c r="AI28" i="31"/>
  <c r="AE28" i="31"/>
  <c r="AA28" i="31"/>
  <c r="W28" i="31"/>
  <c r="S28" i="31"/>
  <c r="O28" i="31"/>
  <c r="K28" i="31"/>
  <c r="G28" i="31"/>
  <c r="C28" i="31"/>
  <c r="AI25" i="30"/>
  <c r="AE25" i="30"/>
  <c r="AA25" i="30"/>
  <c r="W25" i="30"/>
  <c r="S25" i="30"/>
  <c r="O25" i="30"/>
  <c r="K25" i="30"/>
  <c r="G25" i="30"/>
  <c r="C25" i="30"/>
  <c r="AI25" i="31"/>
  <c r="AE25" i="31"/>
  <c r="AA25" i="31"/>
  <c r="W25" i="31"/>
  <c r="S25" i="31"/>
  <c r="O25" i="31"/>
  <c r="K25" i="31"/>
  <c r="G25" i="31"/>
  <c r="C25" i="31"/>
  <c r="AI25" i="29"/>
  <c r="AE25" i="29"/>
  <c r="AA25" i="29"/>
  <c r="W25" i="29"/>
  <c r="S25" i="29"/>
  <c r="O25" i="29"/>
  <c r="K25" i="29"/>
  <c r="G25" i="29"/>
  <c r="C25" i="29"/>
  <c r="AI25" i="28"/>
  <c r="AE25" i="28"/>
  <c r="AE26" i="28" s="1"/>
  <c r="AA25" i="28"/>
  <c r="W25" i="28"/>
  <c r="O25" i="28"/>
  <c r="K25" i="28"/>
  <c r="G25" i="28"/>
  <c r="B22" i="2"/>
  <c r="B23" i="2"/>
  <c r="B24" i="2"/>
  <c r="B25" i="2"/>
  <c r="B26" i="2"/>
  <c r="B22" i="3"/>
  <c r="B23" i="3"/>
  <c r="B24" i="3"/>
  <c r="B25" i="3"/>
  <c r="B26" i="3"/>
  <c r="B23" i="14"/>
  <c r="B24" i="14"/>
  <c r="B22" i="5"/>
  <c r="B23" i="5"/>
  <c r="B24" i="5"/>
  <c r="B25" i="5"/>
  <c r="B26" i="5"/>
  <c r="B22" i="6"/>
  <c r="B23" i="6"/>
  <c r="B24" i="6"/>
  <c r="B25" i="6"/>
  <c r="B26" i="6"/>
  <c r="B26" i="7"/>
  <c r="B22" i="8"/>
  <c r="B24" i="8"/>
  <c r="B25" i="8"/>
  <c r="B26" i="8"/>
  <c r="B22" i="9"/>
  <c r="B23" i="9"/>
  <c r="B24" i="9"/>
  <c r="B25" i="9"/>
  <c r="B26" i="9"/>
  <c r="B22" i="10"/>
  <c r="B23" i="10"/>
  <c r="B24" i="10"/>
  <c r="B25" i="10"/>
  <c r="B26" i="10"/>
  <c r="B22" i="11"/>
  <c r="B23" i="11"/>
  <c r="B24" i="11"/>
  <c r="B25" i="11"/>
  <c r="B26" i="11"/>
  <c r="B22" i="12"/>
  <c r="B23" i="12"/>
  <c r="B24" i="12"/>
  <c r="B25" i="12"/>
  <c r="B26" i="12"/>
  <c r="B23" i="13"/>
  <c r="B24" i="13"/>
  <c r="B25" i="13"/>
  <c r="B26" i="13"/>
  <c r="B22" i="15"/>
  <c r="B23" i="15"/>
  <c r="B24" i="15"/>
  <c r="B25" i="15"/>
  <c r="B26" i="15"/>
  <c r="B22" i="16"/>
  <c r="B23" i="16"/>
  <c r="B24" i="16"/>
  <c r="B26" i="16"/>
  <c r="B22" i="4"/>
  <c r="B23" i="4"/>
  <c r="B24" i="4"/>
  <c r="B25" i="4"/>
  <c r="B26" i="4"/>
  <c r="B22" i="21"/>
  <c r="B23" i="21"/>
  <c r="B24" i="21"/>
  <c r="B26" i="21"/>
  <c r="B26" i="22"/>
  <c r="B22" i="23"/>
  <c r="B23" i="23"/>
  <c r="B24" i="23"/>
  <c r="B25" i="23"/>
  <c r="B26" i="23"/>
  <c r="B25" i="24"/>
  <c r="B26" i="24"/>
  <c r="B23" i="1"/>
  <c r="B24" i="1"/>
  <c r="B25" i="1"/>
  <c r="B21" i="2"/>
  <c r="B21" i="3"/>
  <c r="B21" i="14"/>
  <c r="B21" i="5"/>
  <c r="B21" i="6"/>
  <c r="B21" i="8"/>
  <c r="B21" i="9"/>
  <c r="B21" i="10"/>
  <c r="B21" i="11"/>
  <c r="B21" i="12"/>
  <c r="B21" i="13"/>
  <c r="B21" i="15"/>
  <c r="B21" i="16"/>
  <c r="B21" i="4"/>
  <c r="B21" i="21"/>
  <c r="B21" i="22"/>
  <c r="B21" i="23"/>
  <c r="G27" i="2"/>
  <c r="G27" i="3"/>
  <c r="G27" i="14"/>
  <c r="G27" i="5"/>
  <c r="G27" i="6"/>
  <c r="G27" i="7"/>
  <c r="G27" i="8"/>
  <c r="G27" i="9"/>
  <c r="G27" i="10"/>
  <c r="G27" i="11"/>
  <c r="G27" i="12"/>
  <c r="G27" i="13"/>
  <c r="G27" i="15"/>
  <c r="G27" i="16"/>
  <c r="G27" i="4"/>
  <c r="G27" i="21"/>
  <c r="G27" i="22"/>
  <c r="G27" i="23"/>
  <c r="G27" i="24"/>
  <c r="G27" i="1"/>
  <c r="C24" i="30"/>
  <c r="C24" i="31"/>
  <c r="C24" i="29"/>
  <c r="AI9" i="30"/>
  <c r="AI8" i="30"/>
  <c r="AI7" i="30"/>
  <c r="AI6" i="30"/>
  <c r="AI5" i="30"/>
  <c r="AI4" i="30"/>
  <c r="AI3" i="30"/>
  <c r="AE9" i="30"/>
  <c r="AE8" i="30"/>
  <c r="AE7" i="30"/>
  <c r="AE6" i="30"/>
  <c r="AE5" i="30"/>
  <c r="AE4" i="30"/>
  <c r="AE3" i="30"/>
  <c r="AA9" i="30"/>
  <c r="AA8" i="30"/>
  <c r="AA7" i="30"/>
  <c r="AA6" i="30"/>
  <c r="AA5" i="30"/>
  <c r="AA4" i="30"/>
  <c r="AA3" i="30"/>
  <c r="AA10" i="30" s="1"/>
  <c r="W9" i="30"/>
  <c r="W10" i="30" s="1"/>
  <c r="W8" i="30"/>
  <c r="W7" i="30"/>
  <c r="W6" i="30"/>
  <c r="W5" i="30"/>
  <c r="W4" i="30"/>
  <c r="W3" i="30"/>
  <c r="S9" i="30"/>
  <c r="S8" i="30"/>
  <c r="S7" i="30"/>
  <c r="S6" i="30"/>
  <c r="S5" i="30"/>
  <c r="S4" i="30"/>
  <c r="S3" i="30"/>
  <c r="O9" i="30"/>
  <c r="O8" i="30"/>
  <c r="O7" i="30"/>
  <c r="O6" i="30"/>
  <c r="O5" i="30"/>
  <c r="O4" i="30"/>
  <c r="O3" i="30"/>
  <c r="K9" i="30"/>
  <c r="K8" i="30"/>
  <c r="K7" i="30"/>
  <c r="K6" i="30"/>
  <c r="K5" i="30"/>
  <c r="K4" i="30"/>
  <c r="K3" i="30"/>
  <c r="G9" i="30"/>
  <c r="G8" i="30"/>
  <c r="G7" i="30"/>
  <c r="G6" i="30"/>
  <c r="G5" i="30"/>
  <c r="G4" i="30"/>
  <c r="G3" i="30"/>
  <c r="G10" i="30" s="1"/>
  <c r="C9" i="30"/>
  <c r="C8" i="30"/>
  <c r="C7" i="30"/>
  <c r="C6" i="30"/>
  <c r="C5" i="30"/>
  <c r="C4" i="30"/>
  <c r="C3" i="30"/>
  <c r="AI9" i="31"/>
  <c r="AI8" i="31"/>
  <c r="AI7" i="31"/>
  <c r="AI6" i="31"/>
  <c r="AI5" i="31"/>
  <c r="AI4" i="31"/>
  <c r="AI3" i="31"/>
  <c r="AI10" i="31" s="1"/>
  <c r="AE9" i="31"/>
  <c r="AE8" i="31"/>
  <c r="AE10" i="31" s="1"/>
  <c r="AE7" i="31"/>
  <c r="AE6" i="31"/>
  <c r="AE5" i="31"/>
  <c r="AE4" i="31"/>
  <c r="AE3" i="31"/>
  <c r="AA9" i="31"/>
  <c r="AA8" i="31"/>
  <c r="AA7" i="31"/>
  <c r="AA6" i="31"/>
  <c r="AA5" i="31"/>
  <c r="AA4" i="31"/>
  <c r="AA3" i="31"/>
  <c r="W9" i="31"/>
  <c r="W8" i="31"/>
  <c r="W7" i="31"/>
  <c r="W6" i="31"/>
  <c r="W5" i="31"/>
  <c r="W4" i="31"/>
  <c r="W3" i="31"/>
  <c r="S9" i="31"/>
  <c r="S8" i="31"/>
  <c r="S7" i="31"/>
  <c r="S6" i="31"/>
  <c r="S5" i="31"/>
  <c r="S4" i="31"/>
  <c r="S3" i="31"/>
  <c r="O9" i="31"/>
  <c r="O8" i="31"/>
  <c r="O7" i="31"/>
  <c r="O6" i="31"/>
  <c r="O5" i="31"/>
  <c r="O4" i="31"/>
  <c r="O3" i="31"/>
  <c r="O10" i="31" s="1"/>
  <c r="K9" i="31"/>
  <c r="K8" i="31"/>
  <c r="K7" i="31"/>
  <c r="K6" i="31"/>
  <c r="K5" i="31"/>
  <c r="K4" i="31"/>
  <c r="K3" i="31"/>
  <c r="G9" i="31"/>
  <c r="G8" i="31"/>
  <c r="G7" i="31"/>
  <c r="G6" i="31"/>
  <c r="G5" i="31"/>
  <c r="G4" i="31"/>
  <c r="G3" i="31"/>
  <c r="C9" i="31"/>
  <c r="C10" i="31" s="1"/>
  <c r="C8" i="31"/>
  <c r="C7" i="31"/>
  <c r="C6" i="31"/>
  <c r="C5" i="31"/>
  <c r="C4" i="31"/>
  <c r="C3" i="31"/>
  <c r="AI9" i="29"/>
  <c r="AI8" i="29"/>
  <c r="AI6" i="29"/>
  <c r="AI5" i="29"/>
  <c r="AI4" i="29"/>
  <c r="AI3" i="29"/>
  <c r="AE9" i="29"/>
  <c r="AE8" i="29"/>
  <c r="AE7" i="29"/>
  <c r="AE6" i="29"/>
  <c r="AE5" i="29"/>
  <c r="AE4" i="29"/>
  <c r="AE3" i="29"/>
  <c r="AA9" i="29"/>
  <c r="AA10" i="29" s="1"/>
  <c r="AA8" i="29"/>
  <c r="AA7" i="29"/>
  <c r="AA6" i="29"/>
  <c r="AA5" i="29"/>
  <c r="AA4" i="29"/>
  <c r="AA3" i="29"/>
  <c r="W9" i="29"/>
  <c r="W8" i="29"/>
  <c r="W7" i="29"/>
  <c r="W6" i="29"/>
  <c r="W5" i="29"/>
  <c r="W4" i="29"/>
  <c r="W3" i="29"/>
  <c r="S9" i="29"/>
  <c r="S8" i="29"/>
  <c r="S7" i="29"/>
  <c r="S6" i="29"/>
  <c r="S5" i="29"/>
  <c r="S4" i="29"/>
  <c r="S3" i="29"/>
  <c r="O9" i="29"/>
  <c r="O8" i="29"/>
  <c r="O7" i="29"/>
  <c r="O6" i="29"/>
  <c r="O5" i="29"/>
  <c r="O4" i="29"/>
  <c r="O3" i="29"/>
  <c r="K9" i="29"/>
  <c r="K8" i="29"/>
  <c r="K10" i="29" s="1"/>
  <c r="K7" i="29"/>
  <c r="K6" i="29"/>
  <c r="K5" i="29"/>
  <c r="K4" i="29"/>
  <c r="K3" i="29"/>
  <c r="G9" i="29"/>
  <c r="G8" i="29"/>
  <c r="G10" i="29" s="1"/>
  <c r="G7" i="29"/>
  <c r="G6" i="29"/>
  <c r="G5" i="29"/>
  <c r="G4" i="29"/>
  <c r="G3" i="29"/>
  <c r="C9" i="29"/>
  <c r="C8" i="29"/>
  <c r="C7" i="29"/>
  <c r="C6" i="29"/>
  <c r="C5" i="29"/>
  <c r="C4" i="29"/>
  <c r="C3" i="29"/>
  <c r="AI9" i="28"/>
  <c r="AI8" i="28"/>
  <c r="AI7" i="28"/>
  <c r="AI6" i="28"/>
  <c r="AI5" i="28"/>
  <c r="AI4" i="28"/>
  <c r="AE9" i="28"/>
  <c r="AE8" i="28"/>
  <c r="AE7" i="28"/>
  <c r="AE6" i="28"/>
  <c r="AE5" i="28"/>
  <c r="AE4" i="28"/>
  <c r="AE10" i="28" s="1"/>
  <c r="AA9" i="28"/>
  <c r="AA8" i="28"/>
  <c r="AA7" i="28"/>
  <c r="AA6" i="28"/>
  <c r="AA5" i="28"/>
  <c r="AA4" i="28"/>
  <c r="AA3" i="28"/>
  <c r="W9" i="28"/>
  <c r="W8" i="28"/>
  <c r="W7" i="28"/>
  <c r="W6" i="28"/>
  <c r="W5" i="28"/>
  <c r="W4" i="28"/>
  <c r="W3" i="28"/>
  <c r="S9" i="28"/>
  <c r="S8" i="28"/>
  <c r="S7" i="28"/>
  <c r="S6" i="28"/>
  <c r="S5" i="28"/>
  <c r="S4" i="28"/>
  <c r="S3" i="28"/>
  <c r="O9" i="28"/>
  <c r="O8" i="28"/>
  <c r="O7" i="28"/>
  <c r="O6" i="28"/>
  <c r="O5" i="28"/>
  <c r="K9" i="28"/>
  <c r="K8" i="28"/>
  <c r="K7" i="28"/>
  <c r="K6" i="28"/>
  <c r="K5" i="28"/>
  <c r="K4" i="28"/>
  <c r="K3" i="28"/>
  <c r="G9" i="28"/>
  <c r="G8" i="28"/>
  <c r="G7" i="28"/>
  <c r="G6" i="28"/>
  <c r="G5" i="28"/>
  <c r="G4" i="28"/>
  <c r="G3" i="28"/>
  <c r="C9" i="28"/>
  <c r="C8" i="28"/>
  <c r="C7" i="28"/>
  <c r="C6" i="28"/>
  <c r="C5" i="28"/>
  <c r="C4" i="28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C18" i="24"/>
  <c r="D18" i="24"/>
  <c r="E18" i="24"/>
  <c r="F18" i="24"/>
  <c r="G18" i="24"/>
  <c r="H18" i="24"/>
  <c r="I18" i="24"/>
  <c r="J18" i="24"/>
  <c r="K18" i="24"/>
  <c r="L18" i="24"/>
  <c r="M18" i="24"/>
  <c r="N18" i="24"/>
  <c r="O18" i="24"/>
  <c r="P18" i="24"/>
  <c r="Q18" i="24"/>
  <c r="R18" i="24"/>
  <c r="S18" i="24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B18" i="14"/>
  <c r="B18" i="5"/>
  <c r="B18" i="6"/>
  <c r="B18" i="7"/>
  <c r="B18" i="8"/>
  <c r="B18" i="9"/>
  <c r="B18" i="10"/>
  <c r="B18" i="11"/>
  <c r="B18" i="12"/>
  <c r="B18" i="13"/>
  <c r="B18" i="15"/>
  <c r="B18" i="16"/>
  <c r="B18" i="4"/>
  <c r="B18" i="21"/>
  <c r="B18" i="22"/>
  <c r="B18" i="23"/>
  <c r="B18" i="24"/>
  <c r="B18" i="3"/>
  <c r="T12" i="14"/>
  <c r="T13" i="14"/>
  <c r="T14" i="14"/>
  <c r="T15" i="14"/>
  <c r="T16" i="14"/>
  <c r="T17" i="14"/>
  <c r="T12" i="5"/>
  <c r="T13" i="5"/>
  <c r="T14" i="5"/>
  <c r="T15" i="5"/>
  <c r="T16" i="5"/>
  <c r="T17" i="5"/>
  <c r="T12" i="6"/>
  <c r="T13" i="6"/>
  <c r="T14" i="6"/>
  <c r="T15" i="6"/>
  <c r="T16" i="6"/>
  <c r="T17" i="6"/>
  <c r="T12" i="7"/>
  <c r="T13" i="7"/>
  <c r="T14" i="7"/>
  <c r="T15" i="7"/>
  <c r="T16" i="7"/>
  <c r="T17" i="7"/>
  <c r="T12" i="8"/>
  <c r="T13" i="8"/>
  <c r="T14" i="8"/>
  <c r="T15" i="8"/>
  <c r="T16" i="8"/>
  <c r="T17" i="8"/>
  <c r="T12" i="9"/>
  <c r="T13" i="9"/>
  <c r="T14" i="9"/>
  <c r="T15" i="9"/>
  <c r="T16" i="9"/>
  <c r="T17" i="9"/>
  <c r="T12" i="10"/>
  <c r="T13" i="10"/>
  <c r="T14" i="10"/>
  <c r="T15" i="10"/>
  <c r="T16" i="10"/>
  <c r="T17" i="10"/>
  <c r="T12" i="11"/>
  <c r="T13" i="11"/>
  <c r="T14" i="11"/>
  <c r="T15" i="11"/>
  <c r="T16" i="11"/>
  <c r="T17" i="11"/>
  <c r="T12" i="12"/>
  <c r="T13" i="12"/>
  <c r="T14" i="12"/>
  <c r="T15" i="12"/>
  <c r="T16" i="12"/>
  <c r="T17" i="12"/>
  <c r="T12" i="13"/>
  <c r="T13" i="13"/>
  <c r="T14" i="13"/>
  <c r="T15" i="13"/>
  <c r="T16" i="13"/>
  <c r="T17" i="13"/>
  <c r="T12" i="15"/>
  <c r="T13" i="15"/>
  <c r="T14" i="15"/>
  <c r="T15" i="15"/>
  <c r="T16" i="15"/>
  <c r="T17" i="15"/>
  <c r="T12" i="16"/>
  <c r="T13" i="16"/>
  <c r="T14" i="16"/>
  <c r="T15" i="16"/>
  <c r="T16" i="16"/>
  <c r="T17" i="16"/>
  <c r="T12" i="4"/>
  <c r="T13" i="4"/>
  <c r="T14" i="4"/>
  <c r="T15" i="4"/>
  <c r="T16" i="4"/>
  <c r="T17" i="4"/>
  <c r="T12" i="21"/>
  <c r="T13" i="21"/>
  <c r="T14" i="21"/>
  <c r="T15" i="21"/>
  <c r="T16" i="21"/>
  <c r="T17" i="21"/>
  <c r="T12" i="22"/>
  <c r="T13" i="22"/>
  <c r="T14" i="22"/>
  <c r="T15" i="22"/>
  <c r="T16" i="22"/>
  <c r="T17" i="22"/>
  <c r="T12" i="23"/>
  <c r="T13" i="23"/>
  <c r="T14" i="23"/>
  <c r="T15" i="23"/>
  <c r="T16" i="23"/>
  <c r="T17" i="23"/>
  <c r="T12" i="24"/>
  <c r="T13" i="24"/>
  <c r="T14" i="24"/>
  <c r="T15" i="24"/>
  <c r="T16" i="24"/>
  <c r="T17" i="24"/>
  <c r="T12" i="3"/>
  <c r="T13" i="3"/>
  <c r="T14" i="3"/>
  <c r="T15" i="3"/>
  <c r="T16" i="3"/>
  <c r="T17" i="3"/>
  <c r="T3" i="14"/>
  <c r="T4" i="14"/>
  <c r="T5" i="14"/>
  <c r="T6" i="14"/>
  <c r="T7" i="14"/>
  <c r="T8" i="14"/>
  <c r="T3" i="5"/>
  <c r="T4" i="5"/>
  <c r="T5" i="5"/>
  <c r="T6" i="5"/>
  <c r="T7" i="5"/>
  <c r="T8" i="5"/>
  <c r="T3" i="6"/>
  <c r="T4" i="6"/>
  <c r="T5" i="6"/>
  <c r="T6" i="6"/>
  <c r="T7" i="6"/>
  <c r="T8" i="6"/>
  <c r="T3" i="7"/>
  <c r="T4" i="7"/>
  <c r="T5" i="7"/>
  <c r="T6" i="7"/>
  <c r="T7" i="7"/>
  <c r="T8" i="7"/>
  <c r="T3" i="8"/>
  <c r="T4" i="8"/>
  <c r="T5" i="8"/>
  <c r="T6" i="8"/>
  <c r="T7" i="8"/>
  <c r="T8" i="8"/>
  <c r="T3" i="9"/>
  <c r="T4" i="9"/>
  <c r="T5" i="9"/>
  <c r="T6" i="9"/>
  <c r="T7" i="9"/>
  <c r="T8" i="9"/>
  <c r="T3" i="10"/>
  <c r="T4" i="10"/>
  <c r="T5" i="10"/>
  <c r="T6" i="10"/>
  <c r="T7" i="10"/>
  <c r="T8" i="10"/>
  <c r="T3" i="11"/>
  <c r="T4" i="11"/>
  <c r="T5" i="11"/>
  <c r="T6" i="11"/>
  <c r="T7" i="11"/>
  <c r="T8" i="11"/>
  <c r="T3" i="12"/>
  <c r="T4" i="12"/>
  <c r="T5" i="12"/>
  <c r="T6" i="12"/>
  <c r="T7" i="12"/>
  <c r="T8" i="12"/>
  <c r="T3" i="13"/>
  <c r="T4" i="13"/>
  <c r="T5" i="13"/>
  <c r="T6" i="13"/>
  <c r="T7" i="13"/>
  <c r="T8" i="13"/>
  <c r="T3" i="15"/>
  <c r="T4" i="15"/>
  <c r="T5" i="15"/>
  <c r="T6" i="15"/>
  <c r="T7" i="15"/>
  <c r="T8" i="15"/>
  <c r="T3" i="16"/>
  <c r="T4" i="16"/>
  <c r="T5" i="16"/>
  <c r="T6" i="16"/>
  <c r="T7" i="16"/>
  <c r="T8" i="16"/>
  <c r="T3" i="4"/>
  <c r="T4" i="4"/>
  <c r="T5" i="4"/>
  <c r="T6" i="4"/>
  <c r="T7" i="4"/>
  <c r="T8" i="4"/>
  <c r="T3" i="21"/>
  <c r="T4" i="21"/>
  <c r="T5" i="21"/>
  <c r="T6" i="21"/>
  <c r="T7" i="21"/>
  <c r="T8" i="21"/>
  <c r="T3" i="22"/>
  <c r="T4" i="22"/>
  <c r="T5" i="22"/>
  <c r="T6" i="22"/>
  <c r="T7" i="22"/>
  <c r="T8" i="22"/>
  <c r="T3" i="23"/>
  <c r="T4" i="23"/>
  <c r="T5" i="23"/>
  <c r="T6" i="23"/>
  <c r="T7" i="23"/>
  <c r="T8" i="23"/>
  <c r="T3" i="24"/>
  <c r="T4" i="24"/>
  <c r="T5" i="24"/>
  <c r="T6" i="24"/>
  <c r="T7" i="24"/>
  <c r="T8" i="24"/>
  <c r="T3" i="3"/>
  <c r="T4" i="3"/>
  <c r="T5" i="3"/>
  <c r="T6" i="3"/>
  <c r="T7" i="3"/>
  <c r="T8" i="3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C9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C9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B9" i="14"/>
  <c r="B9" i="5"/>
  <c r="B9" i="6"/>
  <c r="B9" i="7"/>
  <c r="B9" i="8"/>
  <c r="B9" i="9"/>
  <c r="B9" i="10"/>
  <c r="B9" i="11"/>
  <c r="B9" i="12"/>
  <c r="B9" i="13"/>
  <c r="B9" i="15"/>
  <c r="B9" i="16"/>
  <c r="B9" i="4"/>
  <c r="B9" i="21"/>
  <c r="B9" i="22"/>
  <c r="B9" i="23"/>
  <c r="B9" i="24"/>
  <c r="B9" i="3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C9" i="1"/>
  <c r="D9" i="1"/>
  <c r="E9" i="1"/>
  <c r="G9" i="1"/>
  <c r="H9" i="1"/>
  <c r="I9" i="1"/>
  <c r="AE28" i="28" s="1"/>
  <c r="J9" i="1"/>
  <c r="K9" i="1"/>
  <c r="L9" i="1"/>
  <c r="M9" i="1"/>
  <c r="N9" i="1"/>
  <c r="O9" i="1"/>
  <c r="P9" i="1"/>
  <c r="Q9" i="1"/>
  <c r="R9" i="1"/>
  <c r="S9" i="1"/>
  <c r="T16" i="2"/>
  <c r="T7" i="2"/>
  <c r="T16" i="1"/>
  <c r="T7" i="1"/>
  <c r="AI10" i="30"/>
  <c r="W10" i="31"/>
  <c r="O10" i="30"/>
  <c r="O21" i="31"/>
  <c r="O20" i="31"/>
  <c r="O19" i="31"/>
  <c r="O18" i="31"/>
  <c r="O17" i="31"/>
  <c r="O16" i="31"/>
  <c r="O15" i="31"/>
  <c r="O14" i="31"/>
  <c r="O13" i="31"/>
  <c r="O12" i="31"/>
  <c r="AG28" i="30"/>
  <c r="AC28" i="30"/>
  <c r="Y28" i="30"/>
  <c r="U28" i="30"/>
  <c r="Q28" i="30"/>
  <c r="M28" i="30"/>
  <c r="I28" i="30"/>
  <c r="E28" i="30"/>
  <c r="A28" i="30"/>
  <c r="AI24" i="30"/>
  <c r="AE24" i="30"/>
  <c r="AA24" i="30"/>
  <c r="W24" i="30"/>
  <c r="S24" i="30"/>
  <c r="O24" i="30"/>
  <c r="K24" i="30"/>
  <c r="G24" i="30"/>
  <c r="AI21" i="30"/>
  <c r="AE21" i="30"/>
  <c r="AA21" i="30"/>
  <c r="W21" i="30"/>
  <c r="S21" i="30"/>
  <c r="O21" i="30"/>
  <c r="K21" i="30"/>
  <c r="G21" i="30"/>
  <c r="C21" i="30"/>
  <c r="AI20" i="30"/>
  <c r="AE20" i="30"/>
  <c r="AA20" i="30"/>
  <c r="W20" i="30"/>
  <c r="S20" i="30"/>
  <c r="O20" i="30"/>
  <c r="K20" i="30"/>
  <c r="G20" i="30"/>
  <c r="C20" i="30"/>
  <c r="AI19" i="30"/>
  <c r="AE19" i="30"/>
  <c r="AA19" i="30"/>
  <c r="W19" i="30"/>
  <c r="S19" i="30"/>
  <c r="O19" i="30"/>
  <c r="K19" i="30"/>
  <c r="G19" i="30"/>
  <c r="C19" i="30"/>
  <c r="AI18" i="30"/>
  <c r="AE18" i="30"/>
  <c r="AA18" i="30"/>
  <c r="W18" i="30"/>
  <c r="S18" i="30"/>
  <c r="O18" i="30"/>
  <c r="K18" i="30"/>
  <c r="G18" i="30"/>
  <c r="C18" i="30"/>
  <c r="AI17" i="30"/>
  <c r="AE17" i="30"/>
  <c r="AA17" i="30"/>
  <c r="W17" i="30"/>
  <c r="S17" i="30"/>
  <c r="O17" i="30"/>
  <c r="K17" i="30"/>
  <c r="G17" i="30"/>
  <c r="C17" i="30"/>
  <c r="AI16" i="30"/>
  <c r="AE16" i="30"/>
  <c r="AA16" i="30"/>
  <c r="W16" i="30"/>
  <c r="S16" i="30"/>
  <c r="O16" i="30"/>
  <c r="K16" i="30"/>
  <c r="G16" i="30"/>
  <c r="C16" i="30"/>
  <c r="AI15" i="30"/>
  <c r="AE15" i="30"/>
  <c r="AA15" i="30"/>
  <c r="W15" i="30"/>
  <c r="S15" i="30"/>
  <c r="O15" i="30"/>
  <c r="K15" i="30"/>
  <c r="G15" i="30"/>
  <c r="C15" i="30"/>
  <c r="AI14" i="30"/>
  <c r="AE14" i="30"/>
  <c r="AA14" i="30"/>
  <c r="W14" i="30"/>
  <c r="S14" i="30"/>
  <c r="O14" i="30"/>
  <c r="K14" i="30"/>
  <c r="G14" i="30"/>
  <c r="C14" i="30"/>
  <c r="AI13" i="30"/>
  <c r="AE13" i="30"/>
  <c r="AA13" i="30"/>
  <c r="W13" i="30"/>
  <c r="S13" i="30"/>
  <c r="O13" i="30"/>
  <c r="K13" i="30"/>
  <c r="G13" i="30"/>
  <c r="C13" i="30"/>
  <c r="AI12" i="30"/>
  <c r="AE12" i="30"/>
  <c r="AA12" i="30"/>
  <c r="W12" i="30"/>
  <c r="S12" i="30"/>
  <c r="O12" i="30"/>
  <c r="K12" i="30"/>
  <c r="G12" i="30"/>
  <c r="C12" i="30"/>
  <c r="AG28" i="31"/>
  <c r="AC28" i="31"/>
  <c r="Y28" i="31"/>
  <c r="U28" i="31"/>
  <c r="Q28" i="31"/>
  <c r="M28" i="31"/>
  <c r="I28" i="31"/>
  <c r="E28" i="31"/>
  <c r="A28" i="31"/>
  <c r="AI24" i="31"/>
  <c r="AE24" i="31"/>
  <c r="AA24" i="31"/>
  <c r="W24" i="31"/>
  <c r="S24" i="31"/>
  <c r="O24" i="31"/>
  <c r="K24" i="31"/>
  <c r="G24" i="31"/>
  <c r="AI21" i="31"/>
  <c r="AE21" i="31"/>
  <c r="AA21" i="31"/>
  <c r="W21" i="31"/>
  <c r="S21" i="31"/>
  <c r="K21" i="31"/>
  <c r="C21" i="31"/>
  <c r="G21" i="31" s="1"/>
  <c r="AI20" i="31"/>
  <c r="AE20" i="31"/>
  <c r="AA20" i="31"/>
  <c r="W20" i="31"/>
  <c r="S20" i="31"/>
  <c r="K20" i="31"/>
  <c r="C20" i="31"/>
  <c r="G20" i="31" s="1"/>
  <c r="AI19" i="31"/>
  <c r="AE19" i="31"/>
  <c r="AA19" i="31"/>
  <c r="W19" i="31"/>
  <c r="S19" i="31"/>
  <c r="K19" i="31"/>
  <c r="C19" i="31"/>
  <c r="G19" i="31" s="1"/>
  <c r="AI18" i="31"/>
  <c r="AE18" i="31"/>
  <c r="AA18" i="31"/>
  <c r="W18" i="31"/>
  <c r="S18" i="31"/>
  <c r="K18" i="31"/>
  <c r="C18" i="31"/>
  <c r="G18" i="31" s="1"/>
  <c r="AI17" i="31"/>
  <c r="AE17" i="31"/>
  <c r="AA17" i="31"/>
  <c r="W17" i="31"/>
  <c r="S17" i="31"/>
  <c r="K17" i="31"/>
  <c r="C17" i="31"/>
  <c r="G17" i="31" s="1"/>
  <c r="AI16" i="31"/>
  <c r="AE16" i="31"/>
  <c r="AA16" i="31"/>
  <c r="W16" i="31"/>
  <c r="S16" i="31"/>
  <c r="K16" i="31"/>
  <c r="C16" i="31"/>
  <c r="G16" i="31" s="1"/>
  <c r="AI15" i="31"/>
  <c r="AE15" i="31"/>
  <c r="AA15" i="31"/>
  <c r="W15" i="31"/>
  <c r="S15" i="31"/>
  <c r="K15" i="31"/>
  <c r="C15" i="31"/>
  <c r="G15" i="31" s="1"/>
  <c r="AI14" i="31"/>
  <c r="AE14" i="31"/>
  <c r="AA14" i="31"/>
  <c r="W14" i="31"/>
  <c r="S14" i="31"/>
  <c r="K14" i="31"/>
  <c r="C14" i="31"/>
  <c r="G14" i="31" s="1"/>
  <c r="AI13" i="31"/>
  <c r="AE13" i="31"/>
  <c r="AA13" i="31"/>
  <c r="W13" i="31"/>
  <c r="S13" i="31"/>
  <c r="K13" i="31"/>
  <c r="C13" i="31"/>
  <c r="G13" i="31" s="1"/>
  <c r="AI12" i="31"/>
  <c r="AE12" i="31"/>
  <c r="AA12" i="31"/>
  <c r="W12" i="31"/>
  <c r="S12" i="31"/>
  <c r="K12" i="31"/>
  <c r="C12" i="31"/>
  <c r="AG28" i="29"/>
  <c r="AC28" i="29"/>
  <c r="Y28" i="29"/>
  <c r="U28" i="29"/>
  <c r="Q28" i="29"/>
  <c r="M28" i="29"/>
  <c r="I28" i="29"/>
  <c r="E28" i="29"/>
  <c r="A28" i="29"/>
  <c r="AI24" i="29"/>
  <c r="AE24" i="29"/>
  <c r="AA24" i="29"/>
  <c r="W24" i="29"/>
  <c r="S24" i="29"/>
  <c r="K24" i="29"/>
  <c r="G24" i="29"/>
  <c r="AI21" i="29"/>
  <c r="AE21" i="29"/>
  <c r="AA21" i="29"/>
  <c r="W21" i="29"/>
  <c r="S21" i="29"/>
  <c r="O21" i="29"/>
  <c r="G21" i="29"/>
  <c r="C21" i="29"/>
  <c r="AI20" i="29"/>
  <c r="AE20" i="29"/>
  <c r="AA20" i="29"/>
  <c r="W20" i="29"/>
  <c r="S20" i="29"/>
  <c r="O20" i="29"/>
  <c r="K20" i="29"/>
  <c r="G20" i="29"/>
  <c r="C20" i="29"/>
  <c r="AI19" i="29"/>
  <c r="AE19" i="29"/>
  <c r="AA19" i="29"/>
  <c r="W19" i="29"/>
  <c r="S19" i="29"/>
  <c r="O19" i="29"/>
  <c r="K19" i="29"/>
  <c r="G19" i="29"/>
  <c r="C19" i="29"/>
  <c r="AI18" i="29"/>
  <c r="AE18" i="29"/>
  <c r="AA18" i="29"/>
  <c r="W18" i="29"/>
  <c r="S18" i="29"/>
  <c r="O18" i="29"/>
  <c r="K18" i="29"/>
  <c r="G18" i="29"/>
  <c r="AI17" i="29"/>
  <c r="AE17" i="29"/>
  <c r="AA17" i="29"/>
  <c r="W17" i="29"/>
  <c r="S17" i="29"/>
  <c r="O17" i="29"/>
  <c r="K17" i="29"/>
  <c r="G17" i="29"/>
  <c r="AI16" i="29"/>
  <c r="AE16" i="29"/>
  <c r="AA16" i="29"/>
  <c r="W16" i="29"/>
  <c r="S16" i="29"/>
  <c r="O16" i="29"/>
  <c r="K16" i="29"/>
  <c r="G16" i="29"/>
  <c r="C16" i="29"/>
  <c r="AI15" i="29"/>
  <c r="AE15" i="29"/>
  <c r="AA15" i="29"/>
  <c r="W15" i="29"/>
  <c r="S15" i="29"/>
  <c r="O15" i="29"/>
  <c r="K15" i="29"/>
  <c r="G15" i="29"/>
  <c r="C15" i="29"/>
  <c r="AI14" i="29"/>
  <c r="AE14" i="29"/>
  <c r="AA14" i="29"/>
  <c r="W14" i="29"/>
  <c r="S14" i="29"/>
  <c r="O14" i="29"/>
  <c r="K14" i="29"/>
  <c r="G14" i="29"/>
  <c r="C14" i="29"/>
  <c r="AI13" i="29"/>
  <c r="AE13" i="29"/>
  <c r="AA13" i="29"/>
  <c r="W13" i="29"/>
  <c r="S13" i="29"/>
  <c r="O13" i="29"/>
  <c r="K13" i="29"/>
  <c r="G13" i="29"/>
  <c r="C13" i="29"/>
  <c r="AI12" i="29"/>
  <c r="AE12" i="29"/>
  <c r="AA12" i="29"/>
  <c r="W12" i="29"/>
  <c r="S12" i="29"/>
  <c r="O12" i="29"/>
  <c r="K12" i="29"/>
  <c r="G12" i="29"/>
  <c r="C12" i="29"/>
  <c r="AI24" i="28"/>
  <c r="AE24" i="28"/>
  <c r="W24" i="28"/>
  <c r="O24" i="28"/>
  <c r="AI10" i="29" l="1"/>
  <c r="AE28" i="29"/>
  <c r="AI28" i="28"/>
  <c r="C28" i="29"/>
  <c r="AA10" i="28"/>
  <c r="S10" i="28"/>
  <c r="O10" i="28"/>
  <c r="E6" i="32"/>
  <c r="G10" i="28"/>
  <c r="E14" i="32"/>
  <c r="K10" i="30"/>
  <c r="S10" i="30"/>
  <c r="K22" i="30"/>
  <c r="K10" i="31"/>
  <c r="AA10" i="31"/>
  <c r="C10" i="29"/>
  <c r="S10" i="29"/>
  <c r="AE10" i="29"/>
  <c r="W10" i="28"/>
  <c r="K10" i="28"/>
  <c r="AE10" i="30"/>
  <c r="AE26" i="30" s="1"/>
  <c r="C22" i="30"/>
  <c r="G22" i="30"/>
  <c r="G26" i="30" s="1"/>
  <c r="C10" i="30"/>
  <c r="K26" i="31"/>
  <c r="O22" i="31"/>
  <c r="O26" i="31" s="1"/>
  <c r="S10" i="31"/>
  <c r="C22" i="31"/>
  <c r="C26" i="31" s="1"/>
  <c r="AE22" i="31"/>
  <c r="AE26" i="31" s="1"/>
  <c r="AE29" i="31" s="1"/>
  <c r="O10" i="29"/>
  <c r="W10" i="29"/>
  <c r="W26" i="29" s="1"/>
  <c r="G10" i="31"/>
  <c r="K22" i="29"/>
  <c r="K26" i="29" s="1"/>
  <c r="AE22" i="29"/>
  <c r="AE26" i="29" s="1"/>
  <c r="AI22" i="29"/>
  <c r="O22" i="29"/>
  <c r="G22" i="29"/>
  <c r="G26" i="29" s="1"/>
  <c r="AE22" i="30"/>
  <c r="C22" i="29"/>
  <c r="C26" i="29" s="1"/>
  <c r="O22" i="30"/>
  <c r="O26" i="30" s="1"/>
  <c r="S22" i="31"/>
  <c r="S22" i="30"/>
  <c r="S26" i="30" s="1"/>
  <c r="W22" i="31"/>
  <c r="W26" i="31" s="1"/>
  <c r="W29" i="31" s="1"/>
  <c r="W22" i="30"/>
  <c r="W26" i="30" s="1"/>
  <c r="AA22" i="30"/>
  <c r="AA26" i="30" s="1"/>
  <c r="AA29" i="30" s="1"/>
  <c r="G12" i="31"/>
  <c r="G22" i="31" s="1"/>
  <c r="S22" i="29"/>
  <c r="W22" i="29"/>
  <c r="AI22" i="31"/>
  <c r="AA22" i="31"/>
  <c r="AA26" i="31" s="1"/>
  <c r="AA29" i="31" s="1"/>
  <c r="AI22" i="30"/>
  <c r="K22" i="31"/>
  <c r="AA22" i="29"/>
  <c r="H26" i="24"/>
  <c r="H25" i="24"/>
  <c r="H24" i="24"/>
  <c r="H23" i="24"/>
  <c r="H22" i="24"/>
  <c r="H21" i="24"/>
  <c r="T11" i="24"/>
  <c r="T18" i="24" s="1"/>
  <c r="C25" i="24"/>
  <c r="C24" i="24"/>
  <c r="C23" i="24"/>
  <c r="C22" i="24"/>
  <c r="T2" i="24"/>
  <c r="T9" i="24" s="1"/>
  <c r="H26" i="23"/>
  <c r="H25" i="23"/>
  <c r="H24" i="23"/>
  <c r="H23" i="23"/>
  <c r="C23" i="23"/>
  <c r="H22" i="23"/>
  <c r="H21" i="23"/>
  <c r="T11" i="23"/>
  <c r="T18" i="23" s="1"/>
  <c r="C25" i="23"/>
  <c r="C24" i="23"/>
  <c r="C22" i="23"/>
  <c r="T2" i="23"/>
  <c r="H26" i="22"/>
  <c r="H25" i="22"/>
  <c r="H24" i="22"/>
  <c r="H23" i="22"/>
  <c r="H22" i="22"/>
  <c r="H21" i="22"/>
  <c r="T11" i="22"/>
  <c r="T18" i="22" s="1"/>
  <c r="C25" i="22"/>
  <c r="D25" i="22" s="1"/>
  <c r="C24" i="22"/>
  <c r="C23" i="22"/>
  <c r="D23" i="22" s="1"/>
  <c r="C22" i="22"/>
  <c r="D22" i="22" s="1"/>
  <c r="T2" i="22"/>
  <c r="C21" i="22" s="1"/>
  <c r="D21" i="22" s="1"/>
  <c r="H26" i="21"/>
  <c r="H25" i="21"/>
  <c r="H24" i="21"/>
  <c r="H23" i="21"/>
  <c r="C23" i="21"/>
  <c r="D23" i="21" s="1"/>
  <c r="H22" i="21"/>
  <c r="H21" i="21"/>
  <c r="T11" i="21"/>
  <c r="T18" i="21" s="1"/>
  <c r="C25" i="21"/>
  <c r="D25" i="21" s="1"/>
  <c r="C22" i="21"/>
  <c r="D22" i="21" s="1"/>
  <c r="T2" i="21"/>
  <c r="H26" i="4"/>
  <c r="H25" i="4"/>
  <c r="H24" i="4"/>
  <c r="H23" i="4"/>
  <c r="H22" i="4"/>
  <c r="H21" i="4"/>
  <c r="T11" i="4"/>
  <c r="T18" i="4" s="1"/>
  <c r="C25" i="4"/>
  <c r="D25" i="4" s="1"/>
  <c r="C23" i="4"/>
  <c r="D23" i="4" s="1"/>
  <c r="C22" i="4"/>
  <c r="D22" i="4" s="1"/>
  <c r="T2" i="4"/>
  <c r="C21" i="4" s="1"/>
  <c r="D21" i="4" s="1"/>
  <c r="H26" i="16"/>
  <c r="H25" i="16"/>
  <c r="H24" i="16"/>
  <c r="H23" i="16"/>
  <c r="C23" i="16"/>
  <c r="H22" i="16"/>
  <c r="H21" i="16"/>
  <c r="T11" i="16"/>
  <c r="T18" i="16" s="1"/>
  <c r="C25" i="16"/>
  <c r="C24" i="16"/>
  <c r="T2" i="16"/>
  <c r="H26" i="15"/>
  <c r="H25" i="15"/>
  <c r="H24" i="15"/>
  <c r="H23" i="15"/>
  <c r="H22" i="15"/>
  <c r="H21" i="15"/>
  <c r="T11" i="15"/>
  <c r="T18" i="15" s="1"/>
  <c r="C24" i="15"/>
  <c r="D24" i="15" s="1"/>
  <c r="C23" i="15"/>
  <c r="D23" i="15" s="1"/>
  <c r="T2" i="15"/>
  <c r="C21" i="15" s="1"/>
  <c r="D21" i="15" s="1"/>
  <c r="H26" i="13"/>
  <c r="H25" i="13"/>
  <c r="C25" i="13"/>
  <c r="D25" i="13" s="1"/>
  <c r="H24" i="13"/>
  <c r="H23" i="13"/>
  <c r="H22" i="13"/>
  <c r="H21" i="13"/>
  <c r="T11" i="13"/>
  <c r="T18" i="13" s="1"/>
  <c r="C24" i="13"/>
  <c r="C23" i="13"/>
  <c r="D23" i="13" s="1"/>
  <c r="C22" i="13"/>
  <c r="T2" i="13"/>
  <c r="H26" i="12"/>
  <c r="H25" i="12"/>
  <c r="H24" i="12"/>
  <c r="H23" i="12"/>
  <c r="H22" i="12"/>
  <c r="H21" i="12"/>
  <c r="T11" i="12"/>
  <c r="T18" i="12" s="1"/>
  <c r="C25" i="12"/>
  <c r="C24" i="12"/>
  <c r="C23" i="12"/>
  <c r="C22" i="12"/>
  <c r="T2" i="12"/>
  <c r="C21" i="12" s="1"/>
  <c r="H26" i="11"/>
  <c r="H25" i="11"/>
  <c r="H24" i="11"/>
  <c r="H23" i="11"/>
  <c r="C23" i="11"/>
  <c r="D23" i="11" s="1"/>
  <c r="H22" i="11"/>
  <c r="H21" i="11"/>
  <c r="T11" i="11"/>
  <c r="T18" i="11" s="1"/>
  <c r="C25" i="11"/>
  <c r="D25" i="11" s="1"/>
  <c r="C24" i="11"/>
  <c r="D24" i="11" s="1"/>
  <c r="C22" i="11"/>
  <c r="D22" i="11" s="1"/>
  <c r="T2" i="11"/>
  <c r="H26" i="10"/>
  <c r="H25" i="10"/>
  <c r="H24" i="10"/>
  <c r="H23" i="10"/>
  <c r="H22" i="10"/>
  <c r="H21" i="10"/>
  <c r="T11" i="10"/>
  <c r="T18" i="10" s="1"/>
  <c r="C25" i="10"/>
  <c r="D25" i="10" s="1"/>
  <c r="C24" i="10"/>
  <c r="D24" i="10" s="1"/>
  <c r="C23" i="10"/>
  <c r="D23" i="10" s="1"/>
  <c r="C22" i="10"/>
  <c r="D22" i="10" s="1"/>
  <c r="T2" i="10"/>
  <c r="C21" i="10" s="1"/>
  <c r="D21" i="10" s="1"/>
  <c r="H26" i="9"/>
  <c r="H25" i="9"/>
  <c r="H24" i="9"/>
  <c r="H23" i="9"/>
  <c r="H22" i="9"/>
  <c r="H21" i="9"/>
  <c r="T11" i="9"/>
  <c r="T18" i="9" s="1"/>
  <c r="C25" i="9"/>
  <c r="C24" i="9"/>
  <c r="C23" i="9"/>
  <c r="D23" i="9" s="1"/>
  <c r="C22" i="9"/>
  <c r="D22" i="9" s="1"/>
  <c r="T2" i="9"/>
  <c r="H26" i="8"/>
  <c r="H25" i="8"/>
  <c r="H24" i="8"/>
  <c r="H23" i="8"/>
  <c r="H22" i="8"/>
  <c r="H21" i="8"/>
  <c r="T11" i="8"/>
  <c r="T18" i="8" s="1"/>
  <c r="C25" i="8"/>
  <c r="D25" i="8" s="1"/>
  <c r="C24" i="8"/>
  <c r="D24" i="8" s="1"/>
  <c r="C22" i="8"/>
  <c r="D22" i="8" s="1"/>
  <c r="T2" i="8"/>
  <c r="C21" i="8" s="1"/>
  <c r="D21" i="8" s="1"/>
  <c r="H26" i="7"/>
  <c r="H25" i="7"/>
  <c r="H24" i="7"/>
  <c r="H23" i="7"/>
  <c r="H22" i="7"/>
  <c r="H21" i="7"/>
  <c r="T11" i="7"/>
  <c r="T18" i="7" s="1"/>
  <c r="C25" i="7"/>
  <c r="D25" i="7" s="1"/>
  <c r="C23" i="7"/>
  <c r="D23" i="7" s="1"/>
  <c r="C22" i="7"/>
  <c r="D22" i="7" s="1"/>
  <c r="T2" i="7"/>
  <c r="H26" i="6"/>
  <c r="H25" i="6"/>
  <c r="H24" i="6"/>
  <c r="H23" i="6"/>
  <c r="H22" i="6"/>
  <c r="H21" i="6"/>
  <c r="T11" i="6"/>
  <c r="T18" i="6" s="1"/>
  <c r="C25" i="6"/>
  <c r="D25" i="6" s="1"/>
  <c r="C24" i="6"/>
  <c r="D24" i="6" s="1"/>
  <c r="C23" i="6"/>
  <c r="D23" i="6" s="1"/>
  <c r="C22" i="6"/>
  <c r="D22" i="6" s="1"/>
  <c r="T2" i="6"/>
  <c r="T9" i="6" s="1"/>
  <c r="H26" i="5"/>
  <c r="H25" i="5"/>
  <c r="H24" i="5"/>
  <c r="H23" i="5"/>
  <c r="H22" i="5"/>
  <c r="H21" i="5"/>
  <c r="T11" i="5"/>
  <c r="T18" i="5" s="1"/>
  <c r="C25" i="5"/>
  <c r="D25" i="5" s="1"/>
  <c r="C24" i="5"/>
  <c r="D24" i="5" s="1"/>
  <c r="C23" i="5"/>
  <c r="D23" i="5" s="1"/>
  <c r="C22" i="5"/>
  <c r="D22" i="5" s="1"/>
  <c r="T2" i="5"/>
  <c r="H26" i="14"/>
  <c r="H25" i="14"/>
  <c r="H24" i="14"/>
  <c r="H23" i="14"/>
  <c r="H22" i="14"/>
  <c r="H21" i="14"/>
  <c r="T11" i="14"/>
  <c r="T18" i="14" s="1"/>
  <c r="C25" i="14"/>
  <c r="D25" i="14" s="1"/>
  <c r="C24" i="14"/>
  <c r="D24" i="14" s="1"/>
  <c r="C22" i="14"/>
  <c r="T2" i="14"/>
  <c r="T9" i="14" s="1"/>
  <c r="H26" i="3"/>
  <c r="H25" i="3"/>
  <c r="H24" i="3"/>
  <c r="H23" i="3"/>
  <c r="C23" i="3"/>
  <c r="D23" i="3" s="1"/>
  <c r="H22" i="3"/>
  <c r="H21" i="3"/>
  <c r="T11" i="3"/>
  <c r="T18" i="3" s="1"/>
  <c r="C25" i="3"/>
  <c r="D25" i="3" s="1"/>
  <c r="C24" i="3"/>
  <c r="D24" i="3" s="1"/>
  <c r="C22" i="3"/>
  <c r="D22" i="3" s="1"/>
  <c r="T2" i="3"/>
  <c r="AI21" i="28"/>
  <c r="AI20" i="28"/>
  <c r="AI18" i="28"/>
  <c r="AI22" i="28" s="1"/>
  <c r="AI26" i="28" s="1"/>
  <c r="AI17" i="28"/>
  <c r="AI16" i="28"/>
  <c r="AI15" i="28"/>
  <c r="AI14" i="28"/>
  <c r="AI13" i="28"/>
  <c r="AI12" i="28"/>
  <c r="AE21" i="28"/>
  <c r="AE20" i="28"/>
  <c r="AE19" i="28"/>
  <c r="AE18" i="28"/>
  <c r="AE17" i="28"/>
  <c r="AE16" i="28"/>
  <c r="AE15" i="28"/>
  <c r="AE14" i="28"/>
  <c r="AE13" i="28"/>
  <c r="AE12" i="28"/>
  <c r="AA21" i="28"/>
  <c r="AA20" i="28"/>
  <c r="AA19" i="28"/>
  <c r="AA18" i="28"/>
  <c r="AA17" i="28"/>
  <c r="AA16" i="28"/>
  <c r="AA15" i="28"/>
  <c r="AA14" i="28"/>
  <c r="AA13" i="28"/>
  <c r="W21" i="28"/>
  <c r="W20" i="28"/>
  <c r="W19" i="28"/>
  <c r="W18" i="28"/>
  <c r="W17" i="28"/>
  <c r="W16" i="28"/>
  <c r="W15" i="28"/>
  <c r="W14" i="28"/>
  <c r="W13" i="28"/>
  <c r="W12" i="28"/>
  <c r="S21" i="28"/>
  <c r="S20" i="28"/>
  <c r="S19" i="28"/>
  <c r="S18" i="28"/>
  <c r="S17" i="28"/>
  <c r="S16" i="28"/>
  <c r="S15" i="28"/>
  <c r="S14" i="28"/>
  <c r="S13" i="28"/>
  <c r="S12" i="28"/>
  <c r="O21" i="28"/>
  <c r="O20" i="28"/>
  <c r="O19" i="28"/>
  <c r="O18" i="28"/>
  <c r="O17" i="28"/>
  <c r="O16" i="28"/>
  <c r="O14" i="28"/>
  <c r="O13" i="28"/>
  <c r="O12" i="28"/>
  <c r="K21" i="28"/>
  <c r="K20" i="28"/>
  <c r="K19" i="28"/>
  <c r="K18" i="28"/>
  <c r="K17" i="28"/>
  <c r="K16" i="28"/>
  <c r="K15" i="28"/>
  <c r="K14" i="28"/>
  <c r="K13" i="28"/>
  <c r="K12" i="28"/>
  <c r="G21" i="28"/>
  <c r="G20" i="28"/>
  <c r="G19" i="28"/>
  <c r="G18" i="28"/>
  <c r="G17" i="28"/>
  <c r="G16" i="28"/>
  <c r="G15" i="28"/>
  <c r="G14" i="28"/>
  <c r="G13" i="28"/>
  <c r="G12" i="28"/>
  <c r="B18" i="2"/>
  <c r="B9" i="2"/>
  <c r="B18" i="1"/>
  <c r="B9" i="1"/>
  <c r="AG28" i="28"/>
  <c r="AC28" i="28"/>
  <c r="Y28" i="28"/>
  <c r="U28" i="28"/>
  <c r="Q28" i="28"/>
  <c r="M28" i="28"/>
  <c r="I28" i="28"/>
  <c r="E28" i="28"/>
  <c r="A28" i="28"/>
  <c r="AI26" i="29" l="1"/>
  <c r="S26" i="29"/>
  <c r="C26" i="30"/>
  <c r="K26" i="30"/>
  <c r="S26" i="31"/>
  <c r="AI26" i="30"/>
  <c r="AI29" i="30" s="1"/>
  <c r="AI26" i="31"/>
  <c r="AI29" i="31" s="1"/>
  <c r="G26" i="31"/>
  <c r="G29" i="31" s="1"/>
  <c r="C21" i="3"/>
  <c r="T9" i="3"/>
  <c r="C21" i="5"/>
  <c r="D21" i="5" s="1"/>
  <c r="T9" i="5"/>
  <c r="T9" i="8"/>
  <c r="T9" i="10"/>
  <c r="C21" i="7"/>
  <c r="D21" i="7" s="1"/>
  <c r="T9" i="7"/>
  <c r="C21" i="9"/>
  <c r="D21" i="9" s="1"/>
  <c r="T9" i="9"/>
  <c r="T9" i="12"/>
  <c r="C29" i="31"/>
  <c r="T9" i="15"/>
  <c r="C21" i="11"/>
  <c r="D21" i="11" s="1"/>
  <c r="T9" i="11"/>
  <c r="T9" i="4"/>
  <c r="T9" i="22"/>
  <c r="C21" i="14"/>
  <c r="D21" i="14" s="1"/>
  <c r="C21" i="13"/>
  <c r="C21" i="16"/>
  <c r="D21" i="16" s="1"/>
  <c r="T9" i="16"/>
  <c r="C21" i="21"/>
  <c r="D21" i="21" s="1"/>
  <c r="T9" i="21"/>
  <c r="C21" i="23"/>
  <c r="T9" i="23"/>
  <c r="T9" i="13"/>
  <c r="K28" i="29"/>
  <c r="K29" i="29" s="1"/>
  <c r="C24" i="21"/>
  <c r="D24" i="21" s="1"/>
  <c r="C28" i="28"/>
  <c r="C25" i="15"/>
  <c r="D25" i="15" s="1"/>
  <c r="C24" i="4"/>
  <c r="D24" i="4" s="1"/>
  <c r="O28" i="29"/>
  <c r="O29" i="29" s="1"/>
  <c r="C23" i="8"/>
  <c r="C24" i="7"/>
  <c r="D24" i="7" s="1"/>
  <c r="C21" i="6"/>
  <c r="D21" i="6" s="1"/>
  <c r="C21" i="24"/>
  <c r="AA28" i="28"/>
  <c r="C23" i="14"/>
  <c r="D23" i="14" s="1"/>
  <c r="C22" i="15"/>
  <c r="C22" i="16"/>
  <c r="W29" i="30"/>
  <c r="AE29" i="30"/>
  <c r="S29" i="30"/>
  <c r="C26" i="5"/>
  <c r="C26" i="21"/>
  <c r="C26" i="6"/>
  <c r="C26" i="10"/>
  <c r="C26" i="15"/>
  <c r="D26" i="15" s="1"/>
  <c r="C26" i="22"/>
  <c r="D26" i="22" s="1"/>
  <c r="C26" i="9"/>
  <c r="C26" i="13"/>
  <c r="K29" i="30"/>
  <c r="G28" i="29"/>
  <c r="G29" i="29" s="1"/>
  <c r="O29" i="30"/>
  <c r="C26" i="23"/>
  <c r="G28" i="28"/>
  <c r="S28" i="29"/>
  <c r="K29" i="31"/>
  <c r="C26" i="7"/>
  <c r="C26" i="3"/>
  <c r="C26" i="11"/>
  <c r="K28" i="28"/>
  <c r="W28" i="29"/>
  <c r="W29" i="29" s="1"/>
  <c r="O29" i="31"/>
  <c r="O28" i="28"/>
  <c r="AA28" i="29"/>
  <c r="G29" i="30"/>
  <c r="S29" i="31"/>
  <c r="C26" i="14"/>
  <c r="D26" i="14" s="1"/>
  <c r="C26" i="12"/>
  <c r="C26" i="4"/>
  <c r="C26" i="24"/>
  <c r="C26" i="16"/>
  <c r="S28" i="28"/>
  <c r="AE29" i="29"/>
  <c r="C26" i="8"/>
  <c r="D26" i="8" s="1"/>
  <c r="W28" i="28"/>
  <c r="AI28" i="29"/>
  <c r="C13" i="28"/>
  <c r="C14" i="28"/>
  <c r="C15" i="28"/>
  <c r="C16" i="28"/>
  <c r="C17" i="28"/>
  <c r="C18" i="28"/>
  <c r="C19" i="28"/>
  <c r="C20" i="28"/>
  <c r="C21" i="28"/>
  <c r="C12" i="28"/>
  <c r="C3" i="28"/>
  <c r="C10" i="28" s="1"/>
  <c r="H26" i="2"/>
  <c r="H25" i="2"/>
  <c r="H24" i="2"/>
  <c r="H23" i="2"/>
  <c r="H22" i="2"/>
  <c r="H21" i="2"/>
  <c r="T15" i="2"/>
  <c r="T14" i="2"/>
  <c r="T13" i="2"/>
  <c r="T12" i="2"/>
  <c r="T11" i="2"/>
  <c r="T8" i="2"/>
  <c r="T6" i="2"/>
  <c r="T5" i="2"/>
  <c r="T4" i="2"/>
  <c r="T3" i="2"/>
  <c r="T2" i="2"/>
  <c r="H22" i="1"/>
  <c r="H23" i="1"/>
  <c r="H24" i="1"/>
  <c r="H25" i="1"/>
  <c r="H26" i="1"/>
  <c r="H21" i="1"/>
  <c r="T17" i="1"/>
  <c r="T12" i="1"/>
  <c r="T13" i="1"/>
  <c r="T14" i="1"/>
  <c r="T15" i="1"/>
  <c r="T11" i="1"/>
  <c r="T18" i="1" s="1"/>
  <c r="T3" i="1"/>
  <c r="T4" i="1"/>
  <c r="T5" i="1"/>
  <c r="T6" i="1"/>
  <c r="C25" i="1" s="1"/>
  <c r="D25" i="1" s="1"/>
  <c r="T8" i="1"/>
  <c r="C26" i="1" s="1"/>
  <c r="D26" i="1" s="1"/>
  <c r="T2" i="1"/>
  <c r="AI29" i="29" l="1"/>
  <c r="S29" i="29"/>
  <c r="T9" i="2"/>
  <c r="C21" i="1"/>
  <c r="D21" i="1" s="1"/>
  <c r="T9" i="1"/>
  <c r="T18" i="2"/>
  <c r="AA29" i="29"/>
  <c r="C29" i="29"/>
  <c r="C29" i="30"/>
  <c r="C21" i="2"/>
  <c r="D21" i="2" s="1"/>
  <c r="C22" i="2"/>
  <c r="D22" i="2" s="1"/>
  <c r="C23" i="2"/>
  <c r="D23" i="2" s="1"/>
  <c r="C24" i="1"/>
  <c r="D24" i="1" s="1"/>
  <c r="C23" i="1"/>
  <c r="D23" i="1" s="1"/>
  <c r="C22" i="1"/>
  <c r="D22" i="1" s="1"/>
  <c r="C25" i="2"/>
  <c r="C26" i="2"/>
  <c r="C24" i="2"/>
  <c r="D24" i="2" s="1"/>
  <c r="C22" i="28"/>
  <c r="G22" i="28"/>
  <c r="G26" i="28" s="1"/>
  <c r="K22" i="28"/>
  <c r="K26" i="28" s="1"/>
  <c r="O22" i="28"/>
  <c r="O26" i="28" s="1"/>
  <c r="S22" i="28"/>
  <c r="S26" i="28" s="1"/>
  <c r="W22" i="28"/>
  <c r="W26" i="28" s="1"/>
  <c r="AA22" i="28"/>
  <c r="AA26" i="28" s="1"/>
  <c r="AE22" i="28"/>
  <c r="AA29" i="28" l="1"/>
  <c r="G29" i="28"/>
  <c r="AI29" i="28"/>
  <c r="W29" i="28"/>
  <c r="K29" i="28"/>
  <c r="S29" i="28"/>
  <c r="AE29" i="28"/>
  <c r="O29" i="28"/>
  <c r="C29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tc={6F17D48D-B710-402A-BD4C-FBBEBFF0280F}</author>
  </authors>
  <commentList>
    <comment ref="A50" authorId="0" shapeId="0" xr:uid="{6F17D48D-B710-402A-BD4C-FBBEBFF0280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Password = shootout</t>
      </text>
    </comment>
  </commentList>
</comments>
</file>

<file path=xl/sharedStrings.xml><?xml version="1.0" encoding="utf-8"?>
<sst xmlns="http://schemas.openxmlformats.org/spreadsheetml/2006/main" count="906" uniqueCount="178">
  <si>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</si>
  <si>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</si>
  <si>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</si>
  <si>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</si>
  <si>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</si>
  <si>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</si>
  <si>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</si>
  <si>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</si>
  <si>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</si>
  <si>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CASH</t>
  </si>
  <si>
    <t>Total</t>
  </si>
  <si>
    <t>Checks</t>
  </si>
  <si>
    <t>50/50 Collected</t>
  </si>
  <si>
    <t>Lineage</t>
  </si>
  <si>
    <t>Vegas Rooms</t>
  </si>
  <si>
    <t>Deposit Total</t>
  </si>
  <si>
    <t>Diff</t>
  </si>
  <si>
    <t># of Bowlers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</si>
  <si>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</si>
  <si>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</si>
  <si>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</si>
  <si>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</si>
  <si>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</si>
  <si>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</si>
  <si>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</si>
  <si>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</si>
  <si>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</si>
  <si>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</si>
  <si>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</si>
  <si>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</si>
  <si>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</si>
  <si>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</si>
  <si>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</si>
  <si>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</si>
  <si>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</si>
  <si>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</si>
  <si>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Lideage</t>
  </si>
  <si>
    <t>DiCC</t>
  </si>
  <si>
    <t>Bowler</t>
  </si>
  <si>
    <t>Shawn Lemons</t>
  </si>
  <si>
    <t>Glenna Morris</t>
  </si>
  <si>
    <t>Phil Stancato</t>
  </si>
  <si>
    <t>Ben Bowman</t>
  </si>
  <si>
    <t>Jeff Goudie</t>
  </si>
  <si>
    <t>Sub</t>
  </si>
  <si>
    <t>25/26 Season</t>
  </si>
  <si>
    <t>Paid</t>
  </si>
  <si>
    <t>Balance</t>
  </si>
  <si>
    <t>Rooms</t>
  </si>
  <si>
    <t>Tina Markel</t>
  </si>
  <si>
    <t>Robert Shields</t>
  </si>
  <si>
    <t>Danny Brewer</t>
  </si>
  <si>
    <t>Nick Brewer</t>
  </si>
  <si>
    <t>Kyle Brookshire</t>
  </si>
  <si>
    <t>Hillary Chambers</t>
  </si>
  <si>
    <t>Holly Danielsen</t>
  </si>
  <si>
    <t>Alexandria Yorgensen</t>
  </si>
  <si>
    <t>Christopher Yazzie</t>
  </si>
  <si>
    <t>Sandra Yorgensen</t>
  </si>
  <si>
    <t>Xelan Contreas</t>
  </si>
  <si>
    <t>Brooke-Lynn Alspaugh</t>
  </si>
  <si>
    <t>Brett Marowelli</t>
  </si>
  <si>
    <t>Shawn Yorgensen</t>
  </si>
  <si>
    <t>Melissa Adkins</t>
  </si>
  <si>
    <t>Judy Mclain</t>
  </si>
  <si>
    <t>Kylie Henning</t>
  </si>
  <si>
    <t>Jason Mclain</t>
  </si>
  <si>
    <t>Robert Wishousky</t>
  </si>
  <si>
    <t>Robert Mclain</t>
  </si>
  <si>
    <t>Wendy Powers</t>
  </si>
  <si>
    <t>Ana Marie Clark</t>
  </si>
  <si>
    <t>Mariann Conner</t>
  </si>
  <si>
    <t>Al Anderson</t>
  </si>
  <si>
    <t>Charli Alexander</t>
  </si>
  <si>
    <t>Rudy Martinez</t>
  </si>
  <si>
    <t>Kathleen Fergson</t>
  </si>
  <si>
    <t>Cristi Craft</t>
  </si>
  <si>
    <t>Patrick Contreas</t>
  </si>
  <si>
    <t>Roger Lewis</t>
  </si>
  <si>
    <t>Brittany Erlandson</t>
  </si>
  <si>
    <t>Kristine Erlandson</t>
  </si>
  <si>
    <t>Karl Erlandson</t>
  </si>
  <si>
    <t>Thomas Fuller</t>
  </si>
  <si>
    <t>Matthew Perry</t>
  </si>
  <si>
    <t>Susan Pierce</t>
  </si>
  <si>
    <t>Kathy Peterson</t>
  </si>
  <si>
    <t>Sue Cramer</t>
  </si>
  <si>
    <t>Dennis Tippie</t>
  </si>
  <si>
    <t>Rea Hamelton</t>
  </si>
  <si>
    <t>Luke Mahon</t>
  </si>
  <si>
    <t>Randy Anderson</t>
  </si>
  <si>
    <t>John Jeffries</t>
  </si>
  <si>
    <t>Nic Beatty</t>
  </si>
  <si>
    <t>Marla Fernandez</t>
  </si>
  <si>
    <t>Rick Beatty</t>
  </si>
  <si>
    <t>Justin Panopolos</t>
  </si>
  <si>
    <t>Chris Ball</t>
  </si>
  <si>
    <t>Jason Angeles</t>
  </si>
  <si>
    <t>Taylor Angeles</t>
  </si>
  <si>
    <t>Chris Jorgenson</t>
  </si>
  <si>
    <t>Stacie Schroeder</t>
  </si>
  <si>
    <t>Tony Schroeder</t>
  </si>
  <si>
    <t>Michelle Vandenberg</t>
  </si>
  <si>
    <t>Kevin Vandenberg</t>
  </si>
  <si>
    <t>Steve Perry</t>
  </si>
  <si>
    <t>Tony Morris</t>
  </si>
  <si>
    <t>Josh Perry</t>
  </si>
  <si>
    <t>Ryan Shields</t>
  </si>
  <si>
    <t>Michael Vargas</t>
  </si>
  <si>
    <t>Shelly Brewer</t>
  </si>
  <si>
    <t>Rusty Salyards</t>
  </si>
  <si>
    <t>Diana Reece</t>
  </si>
  <si>
    <t>Dayrl Swanson</t>
  </si>
  <si>
    <t>Joe Feist</t>
  </si>
  <si>
    <t>Tommy Mendez</t>
  </si>
  <si>
    <t>Marquez White</t>
  </si>
  <si>
    <t>Morgan Briggs</t>
  </si>
  <si>
    <t>Brandon Parz</t>
  </si>
  <si>
    <t>Gary Morrill</t>
  </si>
  <si>
    <t>Kenneth Baker</t>
  </si>
  <si>
    <t>Kabrina Slaten</t>
  </si>
  <si>
    <t>Heather Slaten</t>
  </si>
  <si>
    <t>Keven Slaten</t>
  </si>
  <si>
    <t>Nicholas Tejada</t>
  </si>
  <si>
    <t>Dustin Wengeler</t>
  </si>
  <si>
    <t>Dylan Boling</t>
  </si>
  <si>
    <t>Michael Popeshil</t>
  </si>
  <si>
    <t>Greg Snow</t>
  </si>
  <si>
    <t>Debit</t>
  </si>
  <si>
    <t>Credit</t>
  </si>
  <si>
    <t>Quarter 1</t>
  </si>
  <si>
    <t>Quarter 2</t>
  </si>
  <si>
    <t>Quarter 3</t>
  </si>
  <si>
    <t>Quarter 4</t>
  </si>
  <si>
    <t>Week #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</si>
  <si>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</si>
  <si>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</si>
  <si>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</si>
  <si>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</si>
  <si>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</si>
  <si>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</si>
  <si>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</si>
  <si>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</si>
  <si>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</si>
  <si>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Notes</t>
  </si>
  <si>
    <t xml:space="preserve">FIRST WEEK MINUS THE LINEAGE </t>
  </si>
  <si>
    <t>Alexandra Yorgensen</t>
  </si>
  <si>
    <t>Lily Angeles</t>
  </si>
  <si>
    <t>Casey  Perkins</t>
  </si>
  <si>
    <t>Margaret Armstrong</t>
  </si>
  <si>
    <t>Brandon Loss</t>
  </si>
  <si>
    <t>2 $30 checks were not deposited</t>
  </si>
  <si>
    <t>Mariann Connor</t>
  </si>
  <si>
    <t>AvaMarie Clark</t>
  </si>
  <si>
    <t xml:space="preserve"> </t>
  </si>
  <si>
    <t>Casey Kemp</t>
  </si>
  <si>
    <t>Jason Rane</t>
  </si>
  <si>
    <t>Melody Rane</t>
  </si>
  <si>
    <t>Patrick Lombardo</t>
  </si>
  <si>
    <t>Casey Perkins</t>
  </si>
  <si>
    <t>Regina Navarro</t>
  </si>
  <si>
    <t>Debits 1139.50linage &amp; 42 for bls  60 from week 2 deposited.</t>
  </si>
  <si>
    <t>Scott McFarland</t>
  </si>
  <si>
    <t>Ryan Teeter</t>
  </si>
  <si>
    <t>Nathan Wilson</t>
  </si>
  <si>
    <t>Dave foegal</t>
  </si>
  <si>
    <t>Robin Briggs</t>
  </si>
  <si>
    <t>Debits 1192.50</t>
  </si>
  <si>
    <t>Debits 1113.00</t>
  </si>
  <si>
    <t>crafts 37.50  Debits 1113.00 Service charge 16.80</t>
  </si>
  <si>
    <t>.</t>
  </si>
  <si>
    <t>crafts20+52</t>
  </si>
  <si>
    <t xml:space="preserve">50 sec fee        </t>
  </si>
  <si>
    <t>220 sec fee</t>
  </si>
  <si>
    <t>debits 1033.50 Zelles 60 100 120</t>
  </si>
  <si>
    <t>debits 1046.75 zelle -200 sec fee</t>
  </si>
  <si>
    <t>9+9</t>
  </si>
  <si>
    <t>[]\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</si>
</sst>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ont="0" applyFill="0" applyBorder="0">
      <alignment horizontal="center"/>
    </xf>
    <xf numFmtId="14" fontId="4" fillId="0" borderId="0" applyFont="0" applyFill="0" applyBorder="0">
      <alignment horizontal="right" indent="1"/>
    </xf>
  </cellStyleXfs>
  <cellXfs count="74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44" fontId="0" fillId="0" borderId="0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164" fontId="0" fillId="0" borderId="10" xfId="1" applyNumberFormat="1" applyFont="1" applyBorder="1" applyProtection="1"/>
    <xf numFmtId="44" fontId="0" fillId="0" borderId="11" xfId="1" applyFont="1" applyFill="1" applyBorder="1" applyProtection="1"/>
    <xf numFmtId="44" fontId="0" fillId="0" borderId="11" xfId="1" applyFont="1" applyBorder="1" applyProtection="1"/>
    <xf numFmtId="44" fontId="0" fillId="0" borderId="0" xfId="1" applyFont="1" applyFill="1" applyProtection="1"/>
    <xf numFmtId="44" fontId="0" fillId="0" borderId="0" xfId="1" applyFont="1" applyProtection="1"/>
    <xf numFmtId="44" fontId="0" fillId="4" borderId="0" xfId="1" applyFont="1" applyFill="1" applyProtection="1"/>
    <xf numFmtId="44" fontId="0" fillId="0" borderId="6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3" borderId="10" xfId="0" applyFill="1" applyBorder="1" applyProtection="1">
      <protection locked="0"/>
    </xf>
    <xf numFmtId="164" fontId="2" fillId="2" borderId="0" xfId="1" applyNumberFormat="1" applyFont="1" applyFill="1" applyBorder="1" applyAlignment="1" applyProtection="1">
      <alignment horizontal="center"/>
    </xf>
    <xf numFmtId="44" fontId="0" fillId="2" borderId="0" xfId="1" applyFont="1" applyFill="1" applyBorder="1" applyProtection="1"/>
    <xf numFmtId="0" fontId="0" fillId="0" borderId="10" xfId="0" applyBorder="1"/>
    <xf numFmtId="164" fontId="0" fillId="2" borderId="0" xfId="1" applyNumberFormat="1" applyFont="1" applyFill="1" applyProtection="1"/>
    <xf numFmtId="0" fontId="0" fillId="2" borderId="0" xfId="0" applyFill="1"/>
    <xf numFmtId="44" fontId="0" fillId="2" borderId="0" xfId="1" applyFont="1" applyFill="1" applyProtection="1"/>
    <xf numFmtId="164" fontId="0" fillId="0" borderId="0" xfId="1" applyNumberFormat="1" applyFont="1" applyProtection="1"/>
    <xf numFmtId="164" fontId="0" fillId="0" borderId="10" xfId="1" applyNumberFormat="1" applyFont="1" applyBorder="1" applyProtection="1">
      <protection locked="0"/>
    </xf>
    <xf numFmtId="164" fontId="0" fillId="3" borderId="10" xfId="1" applyNumberFormat="1" applyFont="1" applyFill="1" applyBorder="1" applyProtection="1">
      <protection locked="0"/>
    </xf>
    <xf numFmtId="44" fontId="0" fillId="3" borderId="0" xfId="1" applyFont="1" applyFill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44" fontId="0" fillId="0" borderId="0" xfId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4" fontId="0" fillId="0" borderId="8" xfId="1" applyFont="1" applyBorder="1" applyAlignment="1" applyProtection="1">
      <alignment horizontal="center"/>
      <protection locked="0"/>
    </xf>
    <xf numFmtId="1" fontId="0" fillId="3" borderId="1" xfId="1" applyNumberFormat="1" applyFont="1" applyFill="1" applyBorder="1" applyProtection="1">
      <protection locked="0"/>
    </xf>
    <xf numFmtId="1" fontId="0" fillId="0" borderId="16" xfId="1" applyNumberFormat="1" applyFont="1" applyBorder="1" applyProtection="1"/>
    <xf numFmtId="1" fontId="0" fillId="0" borderId="19" xfId="1" applyNumberFormat="1" applyFont="1" applyBorder="1" applyProtection="1"/>
    <xf numFmtId="164" fontId="0" fillId="2" borderId="5" xfId="1" applyNumberFormat="1" applyFont="1" applyFill="1" applyBorder="1" applyProtection="1"/>
    <xf numFmtId="165" fontId="0" fillId="0" borderId="18" xfId="1" applyNumberFormat="1" applyFont="1" applyFill="1" applyBorder="1" applyProtection="1"/>
    <xf numFmtId="165" fontId="0" fillId="0" borderId="20" xfId="1" applyNumberFormat="1" applyFont="1" applyFill="1" applyBorder="1" applyProtection="1"/>
    <xf numFmtId="165" fontId="0" fillId="2" borderId="6" xfId="1" applyNumberFormat="1" applyFont="1" applyFill="1" applyBorder="1" applyProtection="1"/>
    <xf numFmtId="165" fontId="0" fillId="0" borderId="23" xfId="1" applyNumberFormat="1" applyFont="1" applyFill="1" applyBorder="1" applyProtection="1"/>
    <xf numFmtId="165" fontId="0" fillId="2" borderId="0" xfId="1" applyNumberFormat="1" applyFont="1" applyFill="1" applyBorder="1" applyProtection="1"/>
    <xf numFmtId="165" fontId="0" fillId="0" borderId="24" xfId="1" applyNumberFormat="1" applyFont="1" applyFill="1" applyBorder="1" applyProtection="1"/>
    <xf numFmtId="165" fontId="0" fillId="0" borderId="11" xfId="1" applyNumberFormat="1" applyFont="1" applyFill="1" applyBorder="1" applyProtection="1"/>
    <xf numFmtId="165" fontId="0" fillId="0" borderId="25" xfId="1" applyNumberFormat="1" applyFont="1" applyFill="1" applyBorder="1" applyProtection="1"/>
    <xf numFmtId="165" fontId="0" fillId="2" borderId="27" xfId="1" applyNumberFormat="1" applyFont="1" applyFill="1" applyBorder="1" applyProtection="1"/>
    <xf numFmtId="164" fontId="0" fillId="0" borderId="21" xfId="1" applyNumberFormat="1" applyFont="1" applyBorder="1" applyAlignment="1" applyProtection="1">
      <alignment horizontal="right"/>
    </xf>
    <xf numFmtId="165" fontId="0" fillId="2" borderId="0" xfId="0" applyNumberFormat="1" applyFill="1"/>
    <xf numFmtId="165" fontId="0" fillId="3" borderId="22" xfId="0" applyNumberFormat="1" applyFill="1" applyBorder="1"/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165" fontId="0" fillId="2" borderId="27" xfId="1" applyNumberFormat="1" applyFont="1" applyFill="1" applyBorder="1" applyProtection="1">
      <protection locked="0"/>
    </xf>
    <xf numFmtId="0" fontId="0" fillId="0" borderId="28" xfId="0" applyBorder="1" applyProtection="1">
      <protection locked="0"/>
    </xf>
    <xf numFmtId="165" fontId="0" fillId="3" borderId="17" xfId="0" applyNumberFormat="1" applyFill="1" applyBorder="1" applyProtection="1">
      <protection locked="0"/>
    </xf>
    <xf numFmtId="165" fontId="0" fillId="0" borderId="18" xfId="1" applyNumberFormat="1" applyFont="1" applyFill="1" applyBorder="1" applyProtection="1">
      <protection locked="0"/>
    </xf>
    <xf numFmtId="165" fontId="0" fillId="3" borderId="10" xfId="0" applyNumberFormat="1" applyFill="1" applyBorder="1" applyProtection="1">
      <protection locked="0"/>
    </xf>
    <xf numFmtId="165" fontId="0" fillId="0" borderId="20" xfId="1" applyNumberFormat="1" applyFont="1" applyFill="1" applyBorder="1" applyProtection="1">
      <protection locked="0"/>
    </xf>
    <xf numFmtId="164" fontId="0" fillId="0" borderId="13" xfId="1" applyNumberFormat="1" applyFont="1" applyBorder="1" applyAlignment="1" applyProtection="1">
      <alignment horizontal="center"/>
    </xf>
    <xf numFmtId="164" fontId="0" fillId="0" borderId="15" xfId="1" applyNumberFormat="1" applyFont="1" applyBorder="1" applyAlignment="1" applyProtection="1">
      <alignment horizontal="center"/>
    </xf>
    <xf numFmtId="164" fontId="0" fillId="0" borderId="0" xfId="1" applyNumberFormat="1" applyFont="1" applyAlignment="1" applyProtection="1">
      <alignment horizontal="center"/>
    </xf>
    <xf numFmtId="49" fontId="0" fillId="0" borderId="12" xfId="1" applyNumberFormat="1" applyFont="1" applyBorder="1" applyAlignment="1" applyProtection="1">
      <alignment horizontal="center"/>
    </xf>
    <xf numFmtId="164" fontId="0" fillId="4" borderId="0" xfId="1" applyNumberFormat="1" applyFont="1" applyFill="1" applyAlignment="1" applyProtection="1">
      <alignment horizontal="center"/>
    </xf>
    <xf numFmtId="0" fontId="0" fillId="4" borderId="0" xfId="0" applyFill="1" applyAlignment="1">
      <alignment horizontal="center"/>
    </xf>
    <xf numFmtId="164" fontId="2" fillId="0" borderId="11" xfId="1" applyNumberFormat="1" applyFont="1" applyBorder="1" applyAlignment="1" applyProtection="1">
      <alignment horizontal="center"/>
    </xf>
    <xf numFmtId="164" fontId="2" fillId="0" borderId="14" xfId="1" applyNumberFormat="1" applyFont="1" applyBorder="1" applyAlignment="1" applyProtection="1">
      <alignment horizontal="center"/>
    </xf>
    <xf numFmtId="164" fontId="2" fillId="5" borderId="11" xfId="1" applyNumberFormat="1" applyFont="1" applyFill="1" applyBorder="1" applyAlignment="1" applyProtection="1">
      <alignment horizontal="center"/>
    </xf>
    <xf numFmtId="164" fontId="2" fillId="5" borderId="14" xfId="1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</cellXfs>
  <cellStyles count="4">
    <cellStyle name="Check Code" xfId="2" xr:uid="{98A4DB50-AED1-46AB-8A66-394F65B2CBA8}"/>
    <cellStyle name="Currency" xfId="1" builtinId="4"/>
    <cellStyle name="Date" xfId="3" xr:uid="{8BCE7F33-6A55-495E-8E24-83E8A49C62A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mbers, Hill" id="{A68042AC-403C-471A-8ECF-7260A3B890FB}" userId="S::hchambers@k12.com::45c151ad-ca33-4cae-9782-4bdf436f16f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0" dT="2025-08-11T21:05:46.17" personId="{A68042AC-403C-471A-8ECF-7260A3B890FB}" id="{6F17D48D-B710-402A-BD4C-FBBEBFF0280F}">
    <text>Password = shootout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6008-842F-4FBB-AA47-4AD1E13F6B15}">
  <sheetPr codeName="Sheet1"/>
  <dimension ref="A1:AO50"/>
  <sheetViews>
    <sheetView topLeftCell="A2" zoomScale="90" zoomScaleNormal="90" workbookViewId="0">
      <selection activeCell="A23" sqref="A23:B23"/>
    </sheetView>
  </sheetViews>
  <sheetFormatPr defaultRowHeight="15" x14ac:dyDescent="0.25"/>
  <cols>
    <col min="1" max="1" width="7.42578125" style="31" customWidth="1"/>
    <col min="2" max="2" width="7.42578125" customWidth="1"/>
    <col min="3" max="3" width="12.28515625" style="20" customWidth="1"/>
    <col min="4" max="4" width="1.7109375" style="20" customWidth="1"/>
    <col min="5" max="5" width="7.42578125" style="31" customWidth="1"/>
    <col min="6" max="6" width="7.42578125" customWidth="1"/>
    <col min="7" max="7" width="12.28515625" style="20" customWidth="1"/>
    <col min="8" max="8" width="1.7109375" style="20" customWidth="1"/>
    <col min="9" max="9" width="7.42578125" style="31" customWidth="1"/>
    <col min="10" max="10" width="7.42578125" customWidth="1"/>
    <col min="11" max="11" width="12.28515625" style="20" customWidth="1"/>
    <col min="12" max="12" width="1.7109375" style="20" customWidth="1"/>
    <col min="13" max="13" width="7.42578125" style="31" customWidth="1"/>
    <col min="14" max="14" width="7.42578125" customWidth="1"/>
    <col min="15" max="15" width="12.28515625" style="20" customWidth="1"/>
    <col min="16" max="16" width="1.7109375" style="20" customWidth="1"/>
    <col min="17" max="17" width="7.42578125" style="31" customWidth="1"/>
    <col min="18" max="18" width="7.42578125" customWidth="1"/>
    <col min="19" max="19" width="12.28515625" style="20" customWidth="1"/>
    <col min="20" max="20" width="1.7109375" style="20" customWidth="1"/>
    <col min="21" max="21" width="7.42578125" style="31" customWidth="1"/>
    <col min="22" max="22" width="7.42578125" customWidth="1"/>
    <col min="23" max="23" width="12.28515625" style="20" customWidth="1"/>
    <col min="24" max="24" width="1.7109375" style="20" customWidth="1"/>
    <col min="25" max="25" width="7.42578125" style="31" customWidth="1"/>
    <col min="26" max="26" width="7.42578125" customWidth="1"/>
    <col min="27" max="27" width="12.28515625" style="20" customWidth="1"/>
    <col min="28" max="28" width="1.7109375" style="20" customWidth="1"/>
    <col min="29" max="29" width="7.42578125" style="31" customWidth="1"/>
    <col min="30" max="30" width="7.42578125" customWidth="1"/>
    <col min="31" max="31" width="12.28515625" style="20" customWidth="1"/>
    <col min="32" max="32" width="1.7109375" style="20" customWidth="1"/>
    <col min="33" max="33" width="7.42578125" style="31" customWidth="1"/>
    <col min="34" max="34" width="7.42578125" customWidth="1"/>
    <col min="35" max="35" width="12.28515625" style="20" customWidth="1"/>
    <col min="36" max="36" width="1.7109375" style="20" customWidth="1"/>
  </cols>
  <sheetData>
    <row r="1" spans="1:41" x14ac:dyDescent="0.25">
      <c r="A1" s="69" t="s">
        <v>0</v>
      </c>
      <c r="B1" s="70"/>
      <c r="C1" s="70"/>
      <c r="D1" s="25"/>
      <c r="E1" s="69" t="s">
        <v>1</v>
      </c>
      <c r="F1" s="70"/>
      <c r="G1" s="70"/>
      <c r="H1" s="25"/>
      <c r="I1" s="69" t="s">
        <v>2</v>
      </c>
      <c r="J1" s="70"/>
      <c r="K1" s="70"/>
      <c r="L1" s="25"/>
      <c r="M1" s="69" t="s">
        <v>3</v>
      </c>
      <c r="N1" s="70"/>
      <c r="O1" s="70"/>
      <c r="P1" s="25"/>
      <c r="Q1" s="69" t="s">
        <v>4</v>
      </c>
      <c r="R1" s="70"/>
      <c r="S1" s="70"/>
      <c r="T1" s="25"/>
      <c r="U1" s="69" t="s">
        <v>5</v>
      </c>
      <c r="V1" s="70"/>
      <c r="W1" s="70"/>
      <c r="X1" s="25"/>
      <c r="Y1" s="69" t="s">
        <v>6</v>
      </c>
      <c r="Z1" s="70"/>
      <c r="AA1" s="70"/>
      <c r="AB1" s="25"/>
      <c r="AC1" s="69" t="s">
        <v>7</v>
      </c>
      <c r="AD1" s="70"/>
      <c r="AE1" s="70"/>
      <c r="AF1" s="25"/>
      <c r="AG1" s="69" t="s">
        <v>8</v>
      </c>
      <c r="AH1" s="70"/>
      <c r="AI1" s="70"/>
      <c r="AJ1" s="25"/>
    </row>
    <row r="2" spans="1:41" x14ac:dyDescent="0.25">
      <c r="A2" s="71" t="s">
        <v>9</v>
      </c>
      <c r="B2" s="72"/>
      <c r="C2" s="72"/>
      <c r="D2" s="25"/>
      <c r="E2" s="71" t="s">
        <v>9</v>
      </c>
      <c r="F2" s="72"/>
      <c r="G2" s="72"/>
      <c r="H2" s="25"/>
      <c r="I2" s="71" t="s">
        <v>9</v>
      </c>
      <c r="J2" s="72"/>
      <c r="K2" s="72"/>
      <c r="L2" s="25"/>
      <c r="M2" s="71" t="s">
        <v>9</v>
      </c>
      <c r="N2" s="72"/>
      <c r="O2" s="72"/>
      <c r="P2" s="25"/>
      <c r="Q2" s="71" t="s">
        <v>9</v>
      </c>
      <c r="R2" s="72"/>
      <c r="S2" s="72"/>
      <c r="T2" s="25"/>
      <c r="U2" s="71" t="s">
        <v>9</v>
      </c>
      <c r="V2" s="72"/>
      <c r="W2" s="72"/>
      <c r="X2" s="25"/>
      <c r="Y2" s="71" t="s">
        <v>9</v>
      </c>
      <c r="Z2" s="72"/>
      <c r="AA2" s="72"/>
      <c r="AB2" s="25"/>
      <c r="AC2" s="71" t="s">
        <v>9</v>
      </c>
      <c r="AD2" s="72"/>
      <c r="AE2" s="72"/>
      <c r="AF2" s="25"/>
      <c r="AG2" s="71" t="s">
        <v>9</v>
      </c>
      <c r="AH2" s="72"/>
      <c r="AI2" s="72"/>
      <c r="AJ2" s="25"/>
    </row>
    <row r="3" spans="1:41" x14ac:dyDescent="0.25">
      <c r="A3" s="16">
        <v>1</v>
      </c>
      <c r="B3" s="24">
        <v>25</v>
      </c>
      <c r="C3" s="17">
        <f>+A3*B3</f>
        <v>25</v>
      </c>
      <c r="D3" s="26"/>
      <c r="E3" s="16">
        <v>1</v>
      </c>
      <c r="F3" s="24">
        <v>25</v>
      </c>
      <c r="G3" s="17">
        <f>+E3*F3</f>
        <v>25</v>
      </c>
      <c r="H3" s="26"/>
      <c r="I3" s="16">
        <v>1</v>
      </c>
      <c r="J3" s="24">
        <v>3.5</v>
      </c>
      <c r="K3" s="17">
        <f>+I3*J3</f>
        <v>3.5</v>
      </c>
      <c r="L3" s="26"/>
      <c r="M3" s="16">
        <v>1</v>
      </c>
      <c r="N3" s="24">
        <v>24.25</v>
      </c>
      <c r="O3" s="17">
        <f t="shared" ref="O3:O9" si="0">+M3*N3</f>
        <v>24.25</v>
      </c>
      <c r="P3" s="26"/>
      <c r="Q3" s="16">
        <v>1</v>
      </c>
      <c r="R3" s="24">
        <v>20</v>
      </c>
      <c r="S3" s="17">
        <f>+Q3*R3</f>
        <v>20</v>
      </c>
      <c r="T3" s="26"/>
      <c r="U3" s="16">
        <v>1</v>
      </c>
      <c r="V3" s="24">
        <v>30</v>
      </c>
      <c r="W3" s="17">
        <f>+U3*V3</f>
        <v>30</v>
      </c>
      <c r="X3" s="26"/>
      <c r="Y3" s="16">
        <v>1</v>
      </c>
      <c r="Z3" s="24">
        <v>0</v>
      </c>
      <c r="AA3" s="17">
        <f>+Y3*Z3</f>
        <v>0</v>
      </c>
      <c r="AB3" s="26"/>
      <c r="AC3" s="16">
        <v>1</v>
      </c>
      <c r="AD3" s="24">
        <v>20</v>
      </c>
      <c r="AE3" s="17">
        <f>+AC3*AD3</f>
        <v>20</v>
      </c>
      <c r="AF3" s="26"/>
      <c r="AG3" s="16">
        <v>1</v>
      </c>
      <c r="AH3" s="24">
        <v>4</v>
      </c>
      <c r="AI3" s="17">
        <v>5</v>
      </c>
      <c r="AJ3" s="26"/>
    </row>
    <row r="4" spans="1:41" x14ac:dyDescent="0.25">
      <c r="A4" s="16">
        <v>5</v>
      </c>
      <c r="B4" s="24">
        <v>15</v>
      </c>
      <c r="C4" s="17">
        <f t="shared" ref="C4:C9" si="1">+A4*B4</f>
        <v>75</v>
      </c>
      <c r="D4" s="26"/>
      <c r="E4" s="16">
        <v>5</v>
      </c>
      <c r="F4" s="24">
        <v>22</v>
      </c>
      <c r="G4" s="17">
        <f t="shared" ref="G4:G9" si="2">+E4*F4</f>
        <v>110</v>
      </c>
      <c r="H4" s="26"/>
      <c r="I4" s="16">
        <v>5</v>
      </c>
      <c r="J4" s="24">
        <v>24</v>
      </c>
      <c r="K4" s="17">
        <f t="shared" ref="K4:K9" si="3">+I4*J4</f>
        <v>120</v>
      </c>
      <c r="L4" s="26"/>
      <c r="M4" s="16">
        <v>5</v>
      </c>
      <c r="N4" s="24">
        <v>12</v>
      </c>
      <c r="O4" s="17">
        <f t="shared" si="0"/>
        <v>60</v>
      </c>
      <c r="P4" s="26"/>
      <c r="Q4" s="16">
        <v>5</v>
      </c>
      <c r="R4" s="24">
        <v>6</v>
      </c>
      <c r="S4" s="17">
        <f t="shared" ref="S4:S9" si="4">+Q4*R4</f>
        <v>30</v>
      </c>
      <c r="T4" s="26"/>
      <c r="U4" s="16">
        <v>5</v>
      </c>
      <c r="V4" s="24">
        <v>39</v>
      </c>
      <c r="W4" s="17">
        <f t="shared" ref="W4:W9" si="5">+U4*V4</f>
        <v>195</v>
      </c>
      <c r="X4" s="26"/>
      <c r="Y4" s="16">
        <v>5</v>
      </c>
      <c r="Z4" s="24">
        <v>10</v>
      </c>
      <c r="AA4" s="17">
        <f t="shared" ref="AA4:AA9" si="6">+Y4*Z4</f>
        <v>50</v>
      </c>
      <c r="AB4" s="26"/>
      <c r="AC4" s="16">
        <v>5</v>
      </c>
      <c r="AD4" s="24">
        <v>14</v>
      </c>
      <c r="AE4" s="17">
        <f t="shared" ref="AE4:AE9" si="7">+AC4*AD4</f>
        <v>70</v>
      </c>
      <c r="AF4" s="26"/>
      <c r="AG4" s="16">
        <v>5</v>
      </c>
      <c r="AH4" s="24">
        <v>9</v>
      </c>
      <c r="AI4" s="17">
        <f t="shared" ref="AI4:AI9" si="8">+AG4*AH4</f>
        <v>45</v>
      </c>
      <c r="AJ4" s="26"/>
    </row>
    <row r="5" spans="1:41" x14ac:dyDescent="0.25">
      <c r="A5" s="16">
        <v>10</v>
      </c>
      <c r="B5" s="24">
        <v>18</v>
      </c>
      <c r="C5" s="17">
        <f t="shared" si="1"/>
        <v>180</v>
      </c>
      <c r="D5" s="26"/>
      <c r="E5" s="16">
        <v>10</v>
      </c>
      <c r="F5" s="24">
        <v>6</v>
      </c>
      <c r="G5" s="17">
        <f t="shared" si="2"/>
        <v>60</v>
      </c>
      <c r="H5" s="26"/>
      <c r="I5" s="16">
        <v>10</v>
      </c>
      <c r="J5" s="24">
        <v>15</v>
      </c>
      <c r="K5" s="17">
        <f t="shared" si="3"/>
        <v>150</v>
      </c>
      <c r="L5" s="26"/>
      <c r="M5" s="16">
        <v>10</v>
      </c>
      <c r="N5" s="24">
        <v>9</v>
      </c>
      <c r="O5" s="17">
        <f t="shared" si="0"/>
        <v>90</v>
      </c>
      <c r="P5" s="26"/>
      <c r="Q5" s="16">
        <v>10</v>
      </c>
      <c r="R5" s="24">
        <v>8</v>
      </c>
      <c r="S5" s="17">
        <f t="shared" si="4"/>
        <v>80</v>
      </c>
      <c r="T5" s="26"/>
      <c r="U5" s="16">
        <v>10</v>
      </c>
      <c r="V5" s="24">
        <v>9</v>
      </c>
      <c r="W5" s="17">
        <f t="shared" si="5"/>
        <v>90</v>
      </c>
      <c r="X5" s="26"/>
      <c r="Y5" s="16">
        <v>10</v>
      </c>
      <c r="Z5" s="24">
        <v>16</v>
      </c>
      <c r="AA5" s="17">
        <f t="shared" si="6"/>
        <v>160</v>
      </c>
      <c r="AB5" s="26"/>
      <c r="AC5" s="16">
        <v>10</v>
      </c>
      <c r="AD5" s="24">
        <v>11</v>
      </c>
      <c r="AE5" s="17">
        <f t="shared" si="7"/>
        <v>110</v>
      </c>
      <c r="AF5" s="26"/>
      <c r="AG5" s="16">
        <v>10</v>
      </c>
      <c r="AH5" s="24">
        <v>6</v>
      </c>
      <c r="AI5" s="17">
        <f t="shared" si="8"/>
        <v>60</v>
      </c>
      <c r="AJ5" s="26"/>
    </row>
    <row r="6" spans="1:41" x14ac:dyDescent="0.25">
      <c r="A6" s="16">
        <v>20</v>
      </c>
      <c r="B6" s="24">
        <v>82</v>
      </c>
      <c r="C6" s="17">
        <f t="shared" si="1"/>
        <v>1640</v>
      </c>
      <c r="D6" s="26"/>
      <c r="E6" s="16">
        <v>20</v>
      </c>
      <c r="F6" s="24">
        <v>48</v>
      </c>
      <c r="G6" s="17">
        <f t="shared" si="2"/>
        <v>960</v>
      </c>
      <c r="H6" s="26"/>
      <c r="I6" s="16">
        <v>20</v>
      </c>
      <c r="J6" s="24">
        <v>66</v>
      </c>
      <c r="K6" s="17">
        <f t="shared" si="3"/>
        <v>1320</v>
      </c>
      <c r="L6" s="26"/>
      <c r="M6" s="16">
        <v>20</v>
      </c>
      <c r="N6" s="24">
        <v>68</v>
      </c>
      <c r="O6" s="17">
        <f t="shared" si="0"/>
        <v>1360</v>
      </c>
      <c r="P6" s="26"/>
      <c r="Q6" s="16">
        <v>20</v>
      </c>
      <c r="R6" s="24">
        <v>47</v>
      </c>
      <c r="S6" s="17">
        <f t="shared" si="4"/>
        <v>940</v>
      </c>
      <c r="T6" s="26"/>
      <c r="U6" s="16">
        <v>20</v>
      </c>
      <c r="V6" s="24">
        <v>68</v>
      </c>
      <c r="W6" s="17">
        <f t="shared" si="5"/>
        <v>1360</v>
      </c>
      <c r="X6" s="26"/>
      <c r="Y6" s="16">
        <v>20</v>
      </c>
      <c r="Z6" s="24">
        <v>38</v>
      </c>
      <c r="AA6" s="17">
        <f t="shared" si="6"/>
        <v>760</v>
      </c>
      <c r="AB6" s="26"/>
      <c r="AC6" s="16">
        <v>20</v>
      </c>
      <c r="AD6" s="24">
        <v>90</v>
      </c>
      <c r="AE6" s="17">
        <f t="shared" si="7"/>
        <v>1800</v>
      </c>
      <c r="AF6" s="26"/>
      <c r="AG6" s="16">
        <v>20</v>
      </c>
      <c r="AH6" s="24">
        <v>45</v>
      </c>
      <c r="AI6" s="17">
        <f t="shared" si="8"/>
        <v>900</v>
      </c>
      <c r="AJ6" s="26"/>
    </row>
    <row r="7" spans="1:41" x14ac:dyDescent="0.25">
      <c r="A7" s="16">
        <v>20</v>
      </c>
      <c r="B7" s="24"/>
      <c r="C7" s="17">
        <f t="shared" si="1"/>
        <v>0</v>
      </c>
      <c r="D7" s="26"/>
      <c r="E7" s="16">
        <v>20</v>
      </c>
      <c r="F7" s="24">
        <v>0</v>
      </c>
      <c r="G7" s="17">
        <f t="shared" si="2"/>
        <v>0</v>
      </c>
      <c r="H7" s="26"/>
      <c r="I7" s="16">
        <v>20</v>
      </c>
      <c r="J7" s="24">
        <v>0</v>
      </c>
      <c r="K7" s="17">
        <f t="shared" si="3"/>
        <v>0</v>
      </c>
      <c r="L7" s="26"/>
      <c r="M7" s="16">
        <v>20</v>
      </c>
      <c r="N7" s="24"/>
      <c r="O7" s="17">
        <f t="shared" si="0"/>
        <v>0</v>
      </c>
      <c r="P7" s="26"/>
      <c r="Q7" s="16">
        <v>20</v>
      </c>
      <c r="R7" s="24">
        <v>0</v>
      </c>
      <c r="S7" s="17">
        <f t="shared" si="4"/>
        <v>0</v>
      </c>
      <c r="T7" s="26"/>
      <c r="U7" s="16">
        <v>20</v>
      </c>
      <c r="V7" s="24">
        <v>0</v>
      </c>
      <c r="W7" s="17">
        <f t="shared" si="5"/>
        <v>0</v>
      </c>
      <c r="X7" s="26"/>
      <c r="Y7" s="16">
        <v>20</v>
      </c>
      <c r="Z7" s="24">
        <v>0</v>
      </c>
      <c r="AA7" s="17">
        <f t="shared" si="6"/>
        <v>0</v>
      </c>
      <c r="AB7" s="26"/>
      <c r="AC7" s="16">
        <v>20</v>
      </c>
      <c r="AD7" s="24">
        <v>0</v>
      </c>
      <c r="AE7" s="17">
        <f t="shared" si="7"/>
        <v>0</v>
      </c>
      <c r="AF7" s="26"/>
      <c r="AG7" s="16">
        <v>20</v>
      </c>
      <c r="AH7" s="24">
        <v>0</v>
      </c>
      <c r="AI7" s="17">
        <f t="shared" si="8"/>
        <v>0</v>
      </c>
      <c r="AJ7" s="26"/>
    </row>
    <row r="8" spans="1:41" x14ac:dyDescent="0.25">
      <c r="A8" s="16">
        <v>50</v>
      </c>
      <c r="B8" s="24">
        <v>1</v>
      </c>
      <c r="C8" s="17">
        <f t="shared" si="1"/>
        <v>50</v>
      </c>
      <c r="D8" s="26"/>
      <c r="E8" s="16">
        <v>50</v>
      </c>
      <c r="F8" s="24">
        <v>1</v>
      </c>
      <c r="G8" s="17">
        <f t="shared" si="2"/>
        <v>50</v>
      </c>
      <c r="H8" s="26"/>
      <c r="I8" s="16">
        <v>50</v>
      </c>
      <c r="J8" s="24">
        <v>2</v>
      </c>
      <c r="K8" s="17">
        <f t="shared" si="3"/>
        <v>100</v>
      </c>
      <c r="L8" s="26"/>
      <c r="M8" s="16">
        <v>50</v>
      </c>
      <c r="N8" s="24">
        <v>1</v>
      </c>
      <c r="O8" s="17">
        <f t="shared" si="0"/>
        <v>50</v>
      </c>
      <c r="P8" s="26"/>
      <c r="Q8" s="16">
        <v>50</v>
      </c>
      <c r="R8" s="24">
        <v>2</v>
      </c>
      <c r="S8" s="17">
        <f t="shared" si="4"/>
        <v>100</v>
      </c>
      <c r="T8" s="26"/>
      <c r="U8" s="16">
        <v>50</v>
      </c>
      <c r="V8" s="24">
        <v>3</v>
      </c>
      <c r="W8" s="17">
        <f t="shared" si="5"/>
        <v>150</v>
      </c>
      <c r="X8" s="26"/>
      <c r="Y8" s="16">
        <v>50</v>
      </c>
      <c r="Z8" s="24">
        <v>0</v>
      </c>
      <c r="AA8" s="17">
        <f t="shared" si="6"/>
        <v>0</v>
      </c>
      <c r="AB8" s="26"/>
      <c r="AC8" s="16">
        <v>50</v>
      </c>
      <c r="AD8" s="24">
        <v>2</v>
      </c>
      <c r="AE8" s="17">
        <f t="shared" si="7"/>
        <v>100</v>
      </c>
      <c r="AF8" s="26"/>
      <c r="AG8" s="16">
        <v>50</v>
      </c>
      <c r="AH8" s="24">
        <v>0</v>
      </c>
      <c r="AI8" s="17">
        <f t="shared" si="8"/>
        <v>0</v>
      </c>
      <c r="AJ8" s="26"/>
    </row>
    <row r="9" spans="1:41" x14ac:dyDescent="0.25">
      <c r="A9" s="16">
        <v>100</v>
      </c>
      <c r="B9" s="24">
        <v>10</v>
      </c>
      <c r="C9" s="17">
        <f t="shared" si="1"/>
        <v>1000</v>
      </c>
      <c r="D9" s="26"/>
      <c r="E9" s="16">
        <v>100</v>
      </c>
      <c r="F9" s="24">
        <v>4</v>
      </c>
      <c r="G9" s="17">
        <f t="shared" si="2"/>
        <v>400</v>
      </c>
      <c r="H9" s="26"/>
      <c r="I9" s="16">
        <v>100</v>
      </c>
      <c r="J9" s="24">
        <v>4</v>
      </c>
      <c r="K9" s="17">
        <f t="shared" si="3"/>
        <v>400</v>
      </c>
      <c r="L9" s="26"/>
      <c r="M9" s="16">
        <v>100</v>
      </c>
      <c r="N9" s="24">
        <v>22</v>
      </c>
      <c r="O9" s="17">
        <f t="shared" si="0"/>
        <v>2200</v>
      </c>
      <c r="P9" s="26"/>
      <c r="Q9" s="16">
        <v>100</v>
      </c>
      <c r="R9" s="24">
        <v>6</v>
      </c>
      <c r="S9" s="17">
        <f t="shared" si="4"/>
        <v>600</v>
      </c>
      <c r="T9" s="26"/>
      <c r="U9" s="16">
        <v>100</v>
      </c>
      <c r="V9" s="24">
        <v>1</v>
      </c>
      <c r="W9" s="17">
        <f t="shared" si="5"/>
        <v>100</v>
      </c>
      <c r="X9" s="26"/>
      <c r="Y9" s="16">
        <v>100</v>
      </c>
      <c r="Z9" s="24">
        <v>1</v>
      </c>
      <c r="AA9" s="17">
        <f t="shared" si="6"/>
        <v>100</v>
      </c>
      <c r="AB9" s="26"/>
      <c r="AC9" s="16">
        <v>100</v>
      </c>
      <c r="AD9" s="24">
        <v>8</v>
      </c>
      <c r="AE9" s="17">
        <f t="shared" si="7"/>
        <v>800</v>
      </c>
      <c r="AF9" s="26"/>
      <c r="AG9" s="16">
        <v>100</v>
      </c>
      <c r="AH9" s="24">
        <v>3</v>
      </c>
      <c r="AI9" s="17">
        <f t="shared" si="8"/>
        <v>300</v>
      </c>
      <c r="AJ9" s="26"/>
      <c r="AO9">
        <v>5</v>
      </c>
    </row>
    <row r="10" spans="1:41" x14ac:dyDescent="0.25">
      <c r="A10" s="16"/>
      <c r="B10" s="27" t="s">
        <v>10</v>
      </c>
      <c r="C10" s="18">
        <f>SUM(C3:C9)</f>
        <v>2970</v>
      </c>
      <c r="D10" s="26"/>
      <c r="E10" s="16"/>
      <c r="F10" s="27" t="s">
        <v>10</v>
      </c>
      <c r="G10" s="18">
        <f>SUM(G3:G9)</f>
        <v>1605</v>
      </c>
      <c r="H10" s="26"/>
      <c r="I10" s="16"/>
      <c r="J10" s="27" t="s">
        <v>10</v>
      </c>
      <c r="K10" s="18">
        <f>SUM(K3:K9)</f>
        <v>2093.5</v>
      </c>
      <c r="L10" s="26"/>
      <c r="M10" s="16"/>
      <c r="N10" s="27" t="s">
        <v>10</v>
      </c>
      <c r="O10" s="18">
        <f>SUM(O3:O9)</f>
        <v>3784.25</v>
      </c>
      <c r="P10" s="26"/>
      <c r="Q10" s="16"/>
      <c r="R10" s="27" t="s">
        <v>10</v>
      </c>
      <c r="S10" s="18">
        <f>SUM(S3:S9)</f>
        <v>1770</v>
      </c>
      <c r="T10" s="26"/>
      <c r="U10" s="16"/>
      <c r="V10" s="27" t="s">
        <v>10</v>
      </c>
      <c r="W10" s="18">
        <f>SUM(W3:W9)</f>
        <v>1925</v>
      </c>
      <c r="X10" s="26"/>
      <c r="Y10" s="16"/>
      <c r="Z10" s="27" t="s">
        <v>10</v>
      </c>
      <c r="AA10" s="18">
        <f>SUM(AA3:AA9)</f>
        <v>1070</v>
      </c>
      <c r="AB10" s="26"/>
      <c r="AC10" s="16"/>
      <c r="AD10" s="27" t="s">
        <v>10</v>
      </c>
      <c r="AE10" s="18">
        <f>SUM(AE3:AE9)</f>
        <v>2900</v>
      </c>
      <c r="AF10" s="26"/>
      <c r="AG10" s="16"/>
      <c r="AH10" s="27" t="s">
        <v>10</v>
      </c>
      <c r="AI10" s="18">
        <f>SUM(AI3:AI9)</f>
        <v>1310</v>
      </c>
      <c r="AJ10" s="26"/>
      <c r="AO10">
        <v>45</v>
      </c>
    </row>
    <row r="11" spans="1:41" x14ac:dyDescent="0.25">
      <c r="A11" s="71" t="s">
        <v>11</v>
      </c>
      <c r="B11" s="72"/>
      <c r="C11" s="72"/>
      <c r="D11" s="25"/>
      <c r="E11" s="71" t="s">
        <v>11</v>
      </c>
      <c r="F11" s="72"/>
      <c r="G11" s="72"/>
      <c r="H11" s="25"/>
      <c r="I11" s="71" t="s">
        <v>11</v>
      </c>
      <c r="J11" s="72"/>
      <c r="K11" s="72"/>
      <c r="L11" s="25"/>
      <c r="M11" s="71" t="s">
        <v>11</v>
      </c>
      <c r="N11" s="72"/>
      <c r="O11" s="72"/>
      <c r="P11" s="25"/>
      <c r="Q11" s="71" t="s">
        <v>11</v>
      </c>
      <c r="R11" s="72"/>
      <c r="S11" s="72"/>
      <c r="T11" s="25"/>
      <c r="U11" s="71" t="s">
        <v>11</v>
      </c>
      <c r="V11" s="72"/>
      <c r="W11" s="72"/>
      <c r="X11" s="25"/>
      <c r="Y11" s="71" t="s">
        <v>11</v>
      </c>
      <c r="Z11" s="72"/>
      <c r="AA11" s="72"/>
      <c r="AB11" s="25"/>
      <c r="AC11" s="71" t="s">
        <v>11</v>
      </c>
      <c r="AD11" s="72"/>
      <c r="AE11" s="72"/>
      <c r="AF11" s="25"/>
      <c r="AG11" s="71" t="s">
        <v>11</v>
      </c>
      <c r="AH11" s="72"/>
      <c r="AI11" s="72"/>
      <c r="AJ11" s="25"/>
      <c r="AO11">
        <v>60</v>
      </c>
    </row>
    <row r="12" spans="1:41" x14ac:dyDescent="0.25">
      <c r="A12" s="32">
        <v>30</v>
      </c>
      <c r="B12" s="24">
        <v>1</v>
      </c>
      <c r="C12" s="17">
        <f>+A12*B12</f>
        <v>30</v>
      </c>
      <c r="D12" s="26"/>
      <c r="E12" s="32">
        <v>30</v>
      </c>
      <c r="F12" s="24">
        <v>1</v>
      </c>
      <c r="G12" s="17">
        <f>+E12*F12</f>
        <v>30</v>
      </c>
      <c r="H12" s="26"/>
      <c r="I12" s="32">
        <v>30</v>
      </c>
      <c r="J12" s="24">
        <v>1</v>
      </c>
      <c r="K12" s="17">
        <f>+I12*J12</f>
        <v>30</v>
      </c>
      <c r="L12" s="26"/>
      <c r="M12" s="32">
        <v>30</v>
      </c>
      <c r="N12" s="24">
        <v>3</v>
      </c>
      <c r="O12" s="17">
        <f>+M12*N12</f>
        <v>90</v>
      </c>
      <c r="P12" s="26"/>
      <c r="Q12" s="32">
        <v>30</v>
      </c>
      <c r="R12" s="24">
        <v>2</v>
      </c>
      <c r="S12" s="17">
        <f>+Q12*R12</f>
        <v>60</v>
      </c>
      <c r="T12" s="26"/>
      <c r="U12" s="32">
        <v>30</v>
      </c>
      <c r="V12" s="24">
        <v>2</v>
      </c>
      <c r="W12" s="17">
        <f>+U12*V12</f>
        <v>60</v>
      </c>
      <c r="X12" s="26"/>
      <c r="Y12" s="32">
        <v>30</v>
      </c>
      <c r="Z12" s="24">
        <v>0</v>
      </c>
      <c r="AA12" s="17">
        <f>+Y12*Z12</f>
        <v>0</v>
      </c>
      <c r="AB12" s="26"/>
      <c r="AC12" s="32">
        <v>30</v>
      </c>
      <c r="AD12" s="24">
        <v>0</v>
      </c>
      <c r="AE12" s="17">
        <f>+AC12*AD12</f>
        <v>0</v>
      </c>
      <c r="AF12" s="26"/>
      <c r="AG12" s="32">
        <v>30</v>
      </c>
      <c r="AH12" s="24">
        <v>0</v>
      </c>
      <c r="AI12" s="17">
        <f>+AG12*AH12</f>
        <v>0</v>
      </c>
      <c r="AJ12" s="26"/>
      <c r="AO12">
        <v>900</v>
      </c>
    </row>
    <row r="13" spans="1:41" x14ac:dyDescent="0.25">
      <c r="A13" s="32">
        <v>60</v>
      </c>
      <c r="B13" s="24">
        <v>3</v>
      </c>
      <c r="C13" s="17">
        <f t="shared" ref="C13:C21" si="9">+A13*B13</f>
        <v>180</v>
      </c>
      <c r="D13" s="26"/>
      <c r="E13" s="32">
        <v>60</v>
      </c>
      <c r="F13" s="24">
        <v>1</v>
      </c>
      <c r="G13" s="17">
        <f t="shared" ref="G13:G21" si="10">+E13*F13</f>
        <v>60</v>
      </c>
      <c r="H13" s="26"/>
      <c r="I13" s="32">
        <v>60</v>
      </c>
      <c r="J13" s="24">
        <v>3</v>
      </c>
      <c r="K13" s="17">
        <f t="shared" ref="K13:K21" si="11">+I13*J13</f>
        <v>180</v>
      </c>
      <c r="L13" s="26"/>
      <c r="M13" s="32">
        <v>60</v>
      </c>
      <c r="N13" s="24">
        <v>1</v>
      </c>
      <c r="O13" s="17">
        <f t="shared" ref="O13:O21" si="12">+M13*N13</f>
        <v>60</v>
      </c>
      <c r="P13" s="26"/>
      <c r="Q13" s="32">
        <v>60</v>
      </c>
      <c r="R13" s="24">
        <v>1</v>
      </c>
      <c r="S13" s="17">
        <f t="shared" ref="S13:S21" si="13">+Q13*R13</f>
        <v>60</v>
      </c>
      <c r="T13" s="26"/>
      <c r="U13" s="32">
        <v>60</v>
      </c>
      <c r="V13" s="24">
        <v>0</v>
      </c>
      <c r="W13" s="17">
        <f t="shared" ref="W13:W21" si="14">+U13*V13</f>
        <v>0</v>
      </c>
      <c r="X13" s="26"/>
      <c r="Y13" s="32">
        <v>60</v>
      </c>
      <c r="Z13" s="24">
        <v>1</v>
      </c>
      <c r="AA13" s="17">
        <f t="shared" ref="AA13:AA21" si="15">+Y13*Z13</f>
        <v>60</v>
      </c>
      <c r="AB13" s="26"/>
      <c r="AC13" s="32">
        <v>60</v>
      </c>
      <c r="AD13" s="24">
        <v>1</v>
      </c>
      <c r="AE13" s="17">
        <f t="shared" ref="AE13:AE21" si="16">+AC13*AD13</f>
        <v>60</v>
      </c>
      <c r="AF13" s="26"/>
      <c r="AG13" s="32">
        <v>60</v>
      </c>
      <c r="AH13" s="24">
        <v>0</v>
      </c>
      <c r="AI13" s="17">
        <f t="shared" ref="AI13:AI21" si="17">+AG13*AH13</f>
        <v>0</v>
      </c>
      <c r="AJ13" s="26"/>
      <c r="AO13">
        <v>300</v>
      </c>
    </row>
    <row r="14" spans="1:41" x14ac:dyDescent="0.25">
      <c r="A14" s="32">
        <v>90</v>
      </c>
      <c r="B14" s="24">
        <v>0</v>
      </c>
      <c r="C14" s="17">
        <f t="shared" si="9"/>
        <v>0</v>
      </c>
      <c r="D14" s="26"/>
      <c r="E14" s="32">
        <v>90</v>
      </c>
      <c r="F14" s="24">
        <v>1</v>
      </c>
      <c r="G14" s="17">
        <f t="shared" si="10"/>
        <v>90</v>
      </c>
      <c r="H14" s="26"/>
      <c r="I14" s="32">
        <v>90</v>
      </c>
      <c r="J14" s="24">
        <v>1</v>
      </c>
      <c r="K14" s="17">
        <f t="shared" si="11"/>
        <v>90</v>
      </c>
      <c r="L14" s="26"/>
      <c r="M14" s="32">
        <v>90</v>
      </c>
      <c r="N14" s="24">
        <v>0</v>
      </c>
      <c r="O14" s="17">
        <f t="shared" si="12"/>
        <v>0</v>
      </c>
      <c r="P14" s="26"/>
      <c r="Q14" s="32">
        <v>90</v>
      </c>
      <c r="R14" s="24">
        <v>1</v>
      </c>
      <c r="S14" s="17">
        <f t="shared" si="13"/>
        <v>90</v>
      </c>
      <c r="T14" s="26"/>
      <c r="U14" s="32">
        <v>90</v>
      </c>
      <c r="V14" s="24">
        <v>1</v>
      </c>
      <c r="W14" s="17">
        <f t="shared" si="14"/>
        <v>90</v>
      </c>
      <c r="X14" s="26"/>
      <c r="Y14" s="32">
        <v>90</v>
      </c>
      <c r="Z14" s="24">
        <v>0</v>
      </c>
      <c r="AA14" s="17">
        <f t="shared" si="15"/>
        <v>0</v>
      </c>
      <c r="AB14" s="26"/>
      <c r="AC14" s="32">
        <v>90</v>
      </c>
      <c r="AD14" s="24">
        <v>0</v>
      </c>
      <c r="AE14" s="17">
        <f t="shared" si="16"/>
        <v>0</v>
      </c>
      <c r="AF14" s="26"/>
      <c r="AG14" s="32">
        <v>90</v>
      </c>
      <c r="AH14" s="24">
        <v>0</v>
      </c>
      <c r="AI14" s="17">
        <f t="shared" si="17"/>
        <v>0</v>
      </c>
      <c r="AJ14" s="26"/>
      <c r="AO14">
        <v>120</v>
      </c>
    </row>
    <row r="15" spans="1:41" x14ac:dyDescent="0.25">
      <c r="A15" s="32">
        <v>120</v>
      </c>
      <c r="B15" s="24">
        <v>1</v>
      </c>
      <c r="C15" s="17">
        <f t="shared" si="9"/>
        <v>120</v>
      </c>
      <c r="D15" s="26"/>
      <c r="E15" s="32">
        <v>140</v>
      </c>
      <c r="F15" s="24">
        <v>1</v>
      </c>
      <c r="G15" s="17">
        <f t="shared" si="10"/>
        <v>140</v>
      </c>
      <c r="H15" s="26"/>
      <c r="I15" s="32">
        <v>120</v>
      </c>
      <c r="J15" s="24">
        <v>1</v>
      </c>
      <c r="K15" s="17">
        <f t="shared" si="11"/>
        <v>120</v>
      </c>
      <c r="L15" s="26"/>
      <c r="M15" s="32">
        <v>120</v>
      </c>
      <c r="N15" s="24">
        <v>1</v>
      </c>
      <c r="O15" s="17">
        <f t="shared" si="12"/>
        <v>120</v>
      </c>
      <c r="P15" s="26"/>
      <c r="Q15" s="32">
        <v>120</v>
      </c>
      <c r="R15" s="24">
        <v>1</v>
      </c>
      <c r="S15" s="17">
        <f t="shared" si="13"/>
        <v>120</v>
      </c>
      <c r="T15" s="26"/>
      <c r="U15" s="32">
        <v>120</v>
      </c>
      <c r="V15" s="24">
        <v>1</v>
      </c>
      <c r="W15" s="17">
        <f t="shared" si="14"/>
        <v>120</v>
      </c>
      <c r="X15" s="26"/>
      <c r="Y15" s="32">
        <v>120</v>
      </c>
      <c r="Z15" s="24">
        <v>1</v>
      </c>
      <c r="AA15" s="17">
        <f t="shared" si="15"/>
        <v>120</v>
      </c>
      <c r="AB15" s="26"/>
      <c r="AC15" s="32">
        <v>120</v>
      </c>
      <c r="AD15" s="24">
        <v>0</v>
      </c>
      <c r="AE15" s="17">
        <f t="shared" si="16"/>
        <v>0</v>
      </c>
      <c r="AF15" s="26"/>
      <c r="AG15" s="32">
        <v>120</v>
      </c>
      <c r="AH15" s="24">
        <v>1</v>
      </c>
      <c r="AI15" s="17">
        <f t="shared" si="17"/>
        <v>120</v>
      </c>
      <c r="AJ15" s="26"/>
      <c r="AO15">
        <v>150</v>
      </c>
    </row>
    <row r="16" spans="1:41" x14ac:dyDescent="0.25">
      <c r="A16" s="33">
        <v>210</v>
      </c>
      <c r="B16" s="24">
        <v>1</v>
      </c>
      <c r="C16" s="17">
        <f t="shared" si="9"/>
        <v>210</v>
      </c>
      <c r="D16" s="26"/>
      <c r="E16" s="33"/>
      <c r="F16" s="24"/>
      <c r="G16" s="17">
        <f t="shared" si="10"/>
        <v>0</v>
      </c>
      <c r="H16" s="26"/>
      <c r="I16" s="33">
        <v>150</v>
      </c>
      <c r="J16" s="24">
        <v>1</v>
      </c>
      <c r="K16" s="17">
        <f t="shared" si="11"/>
        <v>150</v>
      </c>
      <c r="L16" s="26">
        <v>140</v>
      </c>
      <c r="M16" s="33">
        <v>140</v>
      </c>
      <c r="N16" s="24">
        <v>1</v>
      </c>
      <c r="O16" s="17">
        <f t="shared" si="12"/>
        <v>140</v>
      </c>
      <c r="P16" s="26"/>
      <c r="Q16" s="33">
        <v>500.25</v>
      </c>
      <c r="R16" s="24">
        <v>3</v>
      </c>
      <c r="S16" s="17">
        <f t="shared" si="13"/>
        <v>1500.75</v>
      </c>
      <c r="T16" s="26"/>
      <c r="U16" s="33">
        <v>140</v>
      </c>
      <c r="V16" s="24">
        <v>1</v>
      </c>
      <c r="W16" s="17">
        <f t="shared" si="14"/>
        <v>140</v>
      </c>
      <c r="X16" s="26"/>
      <c r="Y16" s="33">
        <v>590</v>
      </c>
      <c r="Z16" s="24">
        <v>1</v>
      </c>
      <c r="AA16" s="17">
        <f t="shared" si="15"/>
        <v>590</v>
      </c>
      <c r="AB16" s="26"/>
      <c r="AC16" s="33">
        <v>150</v>
      </c>
      <c r="AD16" s="24">
        <v>1</v>
      </c>
      <c r="AE16" s="17">
        <f t="shared" si="16"/>
        <v>150</v>
      </c>
      <c r="AF16" s="26"/>
      <c r="AG16" s="33">
        <v>150</v>
      </c>
      <c r="AH16" s="24">
        <v>1</v>
      </c>
      <c r="AI16" s="17">
        <f t="shared" si="17"/>
        <v>150</v>
      </c>
      <c r="AJ16" s="26"/>
      <c r="AO16">
        <f>SUM(AO9:AO15)</f>
        <v>1580</v>
      </c>
    </row>
    <row r="17" spans="1:41" x14ac:dyDescent="0.25">
      <c r="A17" s="33">
        <v>300</v>
      </c>
      <c r="B17" s="24">
        <v>1</v>
      </c>
      <c r="C17" s="17">
        <f t="shared" si="9"/>
        <v>300</v>
      </c>
      <c r="D17" s="26"/>
      <c r="E17" s="33"/>
      <c r="F17" s="24">
        <v>0</v>
      </c>
      <c r="G17" s="17">
        <f t="shared" si="10"/>
        <v>0</v>
      </c>
      <c r="H17" s="26"/>
      <c r="I17" s="33"/>
      <c r="J17" s="24">
        <v>0</v>
      </c>
      <c r="K17" s="17">
        <f t="shared" si="11"/>
        <v>0</v>
      </c>
      <c r="L17" s="26"/>
      <c r="M17" s="33">
        <v>240</v>
      </c>
      <c r="N17" s="24">
        <v>1</v>
      </c>
      <c r="O17" s="17">
        <f t="shared" si="12"/>
        <v>240</v>
      </c>
      <c r="P17" s="26"/>
      <c r="Q17" s="33">
        <v>35</v>
      </c>
      <c r="R17" s="24">
        <v>1</v>
      </c>
      <c r="S17" s="17">
        <f t="shared" si="13"/>
        <v>35</v>
      </c>
      <c r="T17" s="26"/>
      <c r="U17" s="33">
        <v>300</v>
      </c>
      <c r="V17" s="24">
        <v>1</v>
      </c>
      <c r="W17" s="17">
        <f t="shared" si="14"/>
        <v>300</v>
      </c>
      <c r="X17" s="26"/>
      <c r="Y17" s="33"/>
      <c r="Z17" s="24">
        <v>0</v>
      </c>
      <c r="AA17" s="17">
        <f t="shared" si="15"/>
        <v>0</v>
      </c>
      <c r="AB17" s="26"/>
      <c r="AC17" s="33">
        <v>180</v>
      </c>
      <c r="AD17" s="24">
        <v>1</v>
      </c>
      <c r="AE17" s="17">
        <f t="shared" si="16"/>
        <v>180</v>
      </c>
      <c r="AF17" s="26"/>
      <c r="AG17" s="33"/>
      <c r="AH17" s="24">
        <v>0</v>
      </c>
      <c r="AI17" s="17">
        <f t="shared" si="17"/>
        <v>0</v>
      </c>
      <c r="AJ17" s="26"/>
      <c r="AO17">
        <v>280</v>
      </c>
    </row>
    <row r="18" spans="1:41" x14ac:dyDescent="0.25">
      <c r="A18" s="33">
        <v>500</v>
      </c>
      <c r="B18" s="24">
        <v>1</v>
      </c>
      <c r="C18" s="17">
        <f t="shared" si="9"/>
        <v>500</v>
      </c>
      <c r="D18" s="26"/>
      <c r="E18" s="33"/>
      <c r="F18" s="24">
        <v>0</v>
      </c>
      <c r="G18" s="17">
        <f t="shared" si="10"/>
        <v>0</v>
      </c>
      <c r="H18" s="26"/>
      <c r="I18" s="33"/>
      <c r="J18" s="24">
        <v>0</v>
      </c>
      <c r="K18" s="17">
        <f t="shared" si="11"/>
        <v>0</v>
      </c>
      <c r="L18" s="26"/>
      <c r="M18" s="33"/>
      <c r="N18" s="24">
        <v>0</v>
      </c>
      <c r="O18" s="17">
        <f t="shared" si="12"/>
        <v>0</v>
      </c>
      <c r="P18" s="26"/>
      <c r="Q18" s="33"/>
      <c r="R18" s="24">
        <v>0</v>
      </c>
      <c r="S18" s="17">
        <f t="shared" si="13"/>
        <v>0</v>
      </c>
      <c r="T18" s="26"/>
      <c r="U18" s="33">
        <v>500.25</v>
      </c>
      <c r="V18" s="24">
        <v>1</v>
      </c>
      <c r="W18" s="17">
        <f t="shared" si="14"/>
        <v>500.25</v>
      </c>
      <c r="X18" s="26"/>
      <c r="Y18" s="33"/>
      <c r="Z18" s="24">
        <v>0</v>
      </c>
      <c r="AA18" s="17">
        <f t="shared" si="15"/>
        <v>0</v>
      </c>
      <c r="AB18" s="26"/>
      <c r="AC18" s="33"/>
      <c r="AD18" s="24">
        <v>0</v>
      </c>
      <c r="AE18" s="17">
        <f t="shared" si="16"/>
        <v>0</v>
      </c>
      <c r="AF18" s="26"/>
      <c r="AG18" s="33"/>
      <c r="AH18" s="24">
        <v>1</v>
      </c>
      <c r="AI18" s="17">
        <f t="shared" si="17"/>
        <v>0</v>
      </c>
      <c r="AJ18" s="26"/>
      <c r="AO18">
        <f>SUM(AO16:AO17)</f>
        <v>1860</v>
      </c>
    </row>
    <row r="19" spans="1:41" x14ac:dyDescent="0.25">
      <c r="A19" s="33"/>
      <c r="B19" s="24">
        <v>0</v>
      </c>
      <c r="C19" s="17">
        <f t="shared" si="9"/>
        <v>0</v>
      </c>
      <c r="D19" s="26"/>
      <c r="E19" s="33"/>
      <c r="F19" s="24">
        <v>0</v>
      </c>
      <c r="G19" s="17">
        <f t="shared" si="10"/>
        <v>0</v>
      </c>
      <c r="H19" s="26"/>
      <c r="I19" s="33"/>
      <c r="J19" s="24">
        <v>0</v>
      </c>
      <c r="K19" s="17">
        <f t="shared" si="11"/>
        <v>0</v>
      </c>
      <c r="L19" s="26"/>
      <c r="M19" s="33"/>
      <c r="N19" s="24">
        <v>0</v>
      </c>
      <c r="O19" s="17">
        <f t="shared" si="12"/>
        <v>0</v>
      </c>
      <c r="P19" s="26"/>
      <c r="Q19" s="33"/>
      <c r="R19" s="24">
        <v>0</v>
      </c>
      <c r="S19" s="17">
        <f t="shared" si="13"/>
        <v>0</v>
      </c>
      <c r="T19" s="26"/>
      <c r="U19" s="33"/>
      <c r="V19" s="24">
        <v>0</v>
      </c>
      <c r="W19" s="17">
        <f t="shared" si="14"/>
        <v>0</v>
      </c>
      <c r="X19" s="26"/>
      <c r="Y19" s="33"/>
      <c r="Z19" s="24">
        <v>0</v>
      </c>
      <c r="AA19" s="17">
        <f t="shared" si="15"/>
        <v>0</v>
      </c>
      <c r="AB19" s="26"/>
      <c r="AC19" s="33"/>
      <c r="AD19" s="24">
        <v>0</v>
      </c>
      <c r="AE19" s="17">
        <f t="shared" si="16"/>
        <v>0</v>
      </c>
      <c r="AF19" s="26"/>
      <c r="AG19" s="33"/>
      <c r="AH19" s="24">
        <v>0</v>
      </c>
      <c r="AI19" s="17">
        <f t="shared" si="17"/>
        <v>0</v>
      </c>
      <c r="AJ19" s="26"/>
    </row>
    <row r="20" spans="1:41" x14ac:dyDescent="0.25">
      <c r="A20" s="33"/>
      <c r="B20" s="24">
        <v>0</v>
      </c>
      <c r="C20" s="17">
        <f t="shared" si="9"/>
        <v>0</v>
      </c>
      <c r="D20" s="26"/>
      <c r="E20" s="33"/>
      <c r="F20" s="24">
        <v>0</v>
      </c>
      <c r="G20" s="17">
        <f t="shared" si="10"/>
        <v>0</v>
      </c>
      <c r="H20" s="26"/>
      <c r="I20" s="33"/>
      <c r="J20" s="24">
        <v>0</v>
      </c>
      <c r="K20" s="17">
        <f t="shared" si="11"/>
        <v>0</v>
      </c>
      <c r="L20" s="26"/>
      <c r="M20" s="33"/>
      <c r="N20" s="24">
        <v>0</v>
      </c>
      <c r="O20" s="17">
        <f t="shared" si="12"/>
        <v>0</v>
      </c>
      <c r="P20" s="26"/>
      <c r="Q20" s="33"/>
      <c r="R20" s="24">
        <v>0</v>
      </c>
      <c r="S20" s="17">
        <f t="shared" si="13"/>
        <v>0</v>
      </c>
      <c r="T20" s="26"/>
      <c r="U20" s="33"/>
      <c r="V20" s="24">
        <v>0</v>
      </c>
      <c r="W20" s="17">
        <f t="shared" si="14"/>
        <v>0</v>
      </c>
      <c r="X20" s="26"/>
      <c r="Y20" s="33"/>
      <c r="Z20" s="24">
        <v>0</v>
      </c>
      <c r="AA20" s="17">
        <f t="shared" si="15"/>
        <v>0</v>
      </c>
      <c r="AB20" s="26"/>
      <c r="AC20" s="33"/>
      <c r="AD20" s="24">
        <v>0</v>
      </c>
      <c r="AE20" s="17">
        <f t="shared" si="16"/>
        <v>0</v>
      </c>
      <c r="AF20" s="26"/>
      <c r="AG20" s="33"/>
      <c r="AH20" s="24">
        <v>0</v>
      </c>
      <c r="AI20" s="17">
        <f t="shared" si="17"/>
        <v>0</v>
      </c>
      <c r="AJ20" s="26"/>
    </row>
    <row r="21" spans="1:41" x14ac:dyDescent="0.25">
      <c r="A21" s="33"/>
      <c r="B21" s="24">
        <v>0</v>
      </c>
      <c r="C21" s="17">
        <f t="shared" si="9"/>
        <v>0</v>
      </c>
      <c r="D21" s="26"/>
      <c r="E21" s="33"/>
      <c r="F21" s="24">
        <v>0</v>
      </c>
      <c r="G21" s="17">
        <f t="shared" si="10"/>
        <v>0</v>
      </c>
      <c r="H21" s="26"/>
      <c r="I21" s="33"/>
      <c r="J21" s="24">
        <v>0</v>
      </c>
      <c r="K21" s="17">
        <f t="shared" si="11"/>
        <v>0</v>
      </c>
      <c r="L21" s="26"/>
      <c r="M21" s="33"/>
      <c r="N21" s="24">
        <v>0</v>
      </c>
      <c r="O21" s="17">
        <f t="shared" si="12"/>
        <v>0</v>
      </c>
      <c r="P21" s="26"/>
      <c r="Q21" s="33"/>
      <c r="R21" s="24">
        <v>0</v>
      </c>
      <c r="S21" s="17">
        <f t="shared" si="13"/>
        <v>0</v>
      </c>
      <c r="T21" s="26"/>
      <c r="U21" s="33"/>
      <c r="V21" s="24">
        <v>0</v>
      </c>
      <c r="W21" s="17">
        <f t="shared" si="14"/>
        <v>0</v>
      </c>
      <c r="X21" s="26"/>
      <c r="Y21" s="33"/>
      <c r="Z21" s="24">
        <v>0</v>
      </c>
      <c r="AA21" s="17">
        <f t="shared" si="15"/>
        <v>0</v>
      </c>
      <c r="AB21" s="26"/>
      <c r="AC21" s="33"/>
      <c r="AD21" s="24">
        <v>0</v>
      </c>
      <c r="AE21" s="17">
        <f t="shared" si="16"/>
        <v>0</v>
      </c>
      <c r="AF21" s="26"/>
      <c r="AG21" s="33"/>
      <c r="AH21" s="24">
        <v>0</v>
      </c>
      <c r="AI21" s="17">
        <f t="shared" si="17"/>
        <v>0</v>
      </c>
      <c r="AJ21" s="26"/>
    </row>
    <row r="22" spans="1:41" x14ac:dyDescent="0.25">
      <c r="A22" s="16"/>
      <c r="B22" s="27" t="s">
        <v>10</v>
      </c>
      <c r="C22" s="17">
        <f>SUM(C12:C21)</f>
        <v>1340</v>
      </c>
      <c r="D22" s="26"/>
      <c r="E22" s="16"/>
      <c r="F22" s="27" t="s">
        <v>10</v>
      </c>
      <c r="G22" s="17">
        <f>SUM(G12:G21)</f>
        <v>320</v>
      </c>
      <c r="H22" s="26"/>
      <c r="I22" s="16"/>
      <c r="J22" s="27" t="s">
        <v>10</v>
      </c>
      <c r="K22" s="17">
        <f>SUM(K12:K21)</f>
        <v>570</v>
      </c>
      <c r="L22" s="26"/>
      <c r="M22" s="16"/>
      <c r="N22" s="27" t="s">
        <v>10</v>
      </c>
      <c r="O22" s="17">
        <f>SUM(O12:O21)</f>
        <v>650</v>
      </c>
      <c r="P22" s="26"/>
      <c r="Q22" s="16"/>
      <c r="R22" s="27" t="s">
        <v>10</v>
      </c>
      <c r="S22" s="17">
        <f>SUM(S12:S21)</f>
        <v>1865.75</v>
      </c>
      <c r="T22" s="26"/>
      <c r="U22" s="16"/>
      <c r="V22" s="27" t="s">
        <v>10</v>
      </c>
      <c r="W22" s="17">
        <f>SUM(W12:W21)</f>
        <v>1210.25</v>
      </c>
      <c r="X22" s="26"/>
      <c r="Y22" s="16"/>
      <c r="Z22" s="27" t="s">
        <v>10</v>
      </c>
      <c r="AA22" s="17">
        <f>SUM(AA12:AA21)</f>
        <v>770</v>
      </c>
      <c r="AB22" s="26"/>
      <c r="AC22" s="16"/>
      <c r="AD22" s="27" t="s">
        <v>10</v>
      </c>
      <c r="AE22" s="17">
        <f>SUM(AE12:AE21)</f>
        <v>390</v>
      </c>
      <c r="AF22" s="26"/>
      <c r="AG22" s="16"/>
      <c r="AH22" s="27" t="s">
        <v>10</v>
      </c>
      <c r="AI22" s="17">
        <f>SUM(AI12:AI21)</f>
        <v>270</v>
      </c>
      <c r="AJ22" s="26"/>
    </row>
    <row r="23" spans="1:41" x14ac:dyDescent="0.25">
      <c r="A23" s="66" t="s">
        <v>12</v>
      </c>
      <c r="B23" s="66"/>
      <c r="C23" s="34">
        <v>55</v>
      </c>
      <c r="D23" s="26"/>
      <c r="E23" s="66" t="s">
        <v>12</v>
      </c>
      <c r="F23" s="66"/>
      <c r="G23" s="34">
        <v>52</v>
      </c>
      <c r="H23" s="26"/>
      <c r="I23" s="66" t="s">
        <v>12</v>
      </c>
      <c r="J23" s="66"/>
      <c r="K23" s="34">
        <v>64</v>
      </c>
      <c r="L23" s="26"/>
      <c r="M23" s="66" t="s">
        <v>12</v>
      </c>
      <c r="N23" s="66"/>
      <c r="O23" s="34">
        <v>52</v>
      </c>
      <c r="P23" s="26"/>
      <c r="Q23" s="66" t="s">
        <v>12</v>
      </c>
      <c r="R23" s="66"/>
      <c r="S23" s="34">
        <v>62</v>
      </c>
      <c r="T23" s="26"/>
      <c r="U23" s="66" t="s">
        <v>12</v>
      </c>
      <c r="V23" s="66"/>
      <c r="W23" s="34">
        <v>63</v>
      </c>
      <c r="X23" s="26"/>
      <c r="Y23" s="66" t="s">
        <v>12</v>
      </c>
      <c r="Z23" s="66"/>
      <c r="AA23" s="34">
        <v>75</v>
      </c>
      <c r="AB23" s="26"/>
      <c r="AC23" s="66" t="s">
        <v>12</v>
      </c>
      <c r="AD23" s="66"/>
      <c r="AE23" s="34">
        <v>65</v>
      </c>
      <c r="AF23" s="26"/>
      <c r="AG23" s="66" t="s">
        <v>12</v>
      </c>
      <c r="AH23" s="66"/>
      <c r="AI23" s="34">
        <v>0</v>
      </c>
      <c r="AJ23" s="26"/>
    </row>
    <row r="24" spans="1:41" x14ac:dyDescent="0.25">
      <c r="A24" s="65" t="s">
        <v>13</v>
      </c>
      <c r="B24" s="65"/>
      <c r="C24" s="19">
        <v>967.25</v>
      </c>
      <c r="D24" s="26"/>
      <c r="E24" s="65" t="s">
        <v>13</v>
      </c>
      <c r="F24" s="65"/>
      <c r="G24" s="19">
        <v>1060</v>
      </c>
      <c r="H24" s="26"/>
      <c r="I24" s="65" t="s">
        <v>13</v>
      </c>
      <c r="J24" s="65"/>
      <c r="K24" s="19">
        <v>1139.5</v>
      </c>
      <c r="L24" s="26"/>
      <c r="M24" s="65" t="s">
        <v>13</v>
      </c>
      <c r="N24" s="65"/>
      <c r="O24" s="19">
        <f>+O32*13.25</f>
        <v>1192.5</v>
      </c>
      <c r="P24" s="26"/>
      <c r="Q24" s="65" t="s">
        <v>13</v>
      </c>
      <c r="R24" s="65"/>
      <c r="S24" s="19">
        <f>+S32*13.25</f>
        <v>1192.5</v>
      </c>
      <c r="T24" s="26"/>
      <c r="U24" s="65" t="s">
        <v>13</v>
      </c>
      <c r="V24" s="65"/>
      <c r="W24" s="19">
        <f>+W32*13.25</f>
        <v>1113</v>
      </c>
      <c r="X24" s="26"/>
      <c r="Y24" s="65" t="s">
        <v>13</v>
      </c>
      <c r="Z24" s="65"/>
      <c r="AA24" s="19">
        <f>+AA32*13.25</f>
        <v>1113</v>
      </c>
      <c r="AB24" s="26"/>
      <c r="AC24" s="65" t="s">
        <v>13</v>
      </c>
      <c r="AD24" s="65"/>
      <c r="AE24" s="19">
        <f>+AE32*13.25</f>
        <v>1046.75</v>
      </c>
      <c r="AF24" s="26">
        <f>+AL28</f>
        <v>0</v>
      </c>
      <c r="AG24" s="65" t="s">
        <v>13</v>
      </c>
      <c r="AH24" s="65"/>
      <c r="AI24" s="19">
        <f>+AI32*13.25</f>
        <v>1046.75</v>
      </c>
      <c r="AJ24" s="26"/>
    </row>
    <row r="25" spans="1:41" x14ac:dyDescent="0.25">
      <c r="A25" s="65" t="s">
        <v>14</v>
      </c>
      <c r="B25" s="65"/>
      <c r="C25" s="19">
        <f>'1'!G27+'2'!G27+'3'!G27+'4'!G27+'5'!G27+'6'!G27+'7'!G27+'8'!G27+'9'!G27+'10'!G27+'11'!G27+'12'!G27+'13'!G27+'14'!G27+'15'!G27+'16'!G27+'17'!G27+'18'!G27+'19'!G27+'20'!G27</f>
        <v>0</v>
      </c>
      <c r="D25" s="26"/>
      <c r="E25" s="65" t="s">
        <v>14</v>
      </c>
      <c r="F25" s="65"/>
      <c r="G25" s="19">
        <f>'1'!G27+'2'!G27+'3'!G27+'4'!G27+'5'!G27+'6'!G27+'7'!G27+'8'!G27+'9'!G27+'10'!G27+'11'!G27+'12'!G27+'13'!G27+'14'!G27+'15'!G27+'16'!G27+'17'!G27+'18'!G27+'19'!G27+'20'!G27</f>
        <v>0</v>
      </c>
      <c r="H25" s="26"/>
      <c r="I25" s="65" t="s">
        <v>14</v>
      </c>
      <c r="J25" s="65"/>
      <c r="K25" s="19">
        <f>'1'!G27+'2'!G27+'3'!G27+'4'!G27+'5'!G27+'6'!G27+'7'!G27+'8'!G27+'9'!G27+'10'!G27+'11'!G27+'12'!G27+'13'!G27+'14'!G27+'15'!G27+'16'!G27+'17'!G27+'18'!G27+'19'!G27+'20'!G27</f>
        <v>0</v>
      </c>
      <c r="L25" s="26"/>
      <c r="M25" s="65" t="s">
        <v>14</v>
      </c>
      <c r="N25" s="65"/>
      <c r="O25" s="19">
        <f>'1'!G27+'2'!G27+'3'!G27+'4'!G27+'5'!G27+'6'!G27+'7'!G27+'8'!G27+'9'!G27+'10'!G27+'11'!G27+'12'!G27+'13'!G27+'14'!G27+'15'!G27+'16'!G27+'17'!G27+'18'!G27+'19'!G27+'20'!G27</f>
        <v>0</v>
      </c>
      <c r="P25" s="26"/>
      <c r="Q25" s="65" t="s">
        <v>14</v>
      </c>
      <c r="R25" s="65"/>
      <c r="S25" s="19">
        <f>'1'!G27+'2'!G27+'3'!G27+'4'!G27+'5'!G27+'6'!G27+'7'!G27+'8'!G27+'9'!G27+'10'!G27+'11'!G27+'12'!G27+'13'!G27+'14'!G27+'15'!G27+'16'!G27+'17'!G27+'18'!G27+'19'!G27+'20'!G27</f>
        <v>0</v>
      </c>
      <c r="T25" s="26"/>
      <c r="U25" s="65" t="s">
        <v>14</v>
      </c>
      <c r="V25" s="65"/>
      <c r="W25" s="19">
        <f>'1'!G27+'2'!G27+'3'!G27+'4'!G27+'5'!G27+'6'!G27+'7'!G27+'8'!G27+'9'!G27+'10'!G27+'11'!G27+'12'!G27+'13'!G27+'14'!G27+'15'!G27+'16'!G27+'17'!G27+'18'!G27+'19'!G27+'20'!G27</f>
        <v>0</v>
      </c>
      <c r="X25" s="26"/>
      <c r="Y25" s="65" t="s">
        <v>14</v>
      </c>
      <c r="Z25" s="65"/>
      <c r="AA25" s="19">
        <f>'1'!G27+'2'!G27+'3'!G27+'4'!G27+'5'!G27+'6'!G27+'7'!G27+'8'!G27+'9'!G27+'10'!G27+'11'!G27+'12'!G27+'13'!G27+'14'!G27+'15'!G27+'16'!G27+'17'!G27+'18'!G27+'19'!G27+'20'!G27</f>
        <v>0</v>
      </c>
      <c r="AB25" s="26"/>
      <c r="AC25" s="65" t="s">
        <v>14</v>
      </c>
      <c r="AD25" s="65"/>
      <c r="AE25" s="19">
        <f>'1'!G27+'2'!G27+'3'!G27+'4'!G27+'5'!G27+'6'!G27+'7'!G27+'8'!G27+'9'!G27+'10'!G27+'11'!G27+'12'!G27+'13'!G27+'14'!G27+'15'!G27+'16'!G27+'17'!G27+'18'!G27+'19'!G27+'20'!G27</f>
        <v>0</v>
      </c>
      <c r="AF25" s="26"/>
      <c r="AG25" s="65" t="s">
        <v>14</v>
      </c>
      <c r="AH25" s="65"/>
      <c r="AI25" s="19">
        <f>'1'!G27+'2'!G27+'3'!G27+'4'!G27+'5'!G27+'6'!G27+'7'!G27+'8'!G27+'9'!G27+'10'!G27+'11'!G27+'12'!G27+'13'!G27+'14'!G27+'15'!G27+'16'!G27+'17'!G27+'18'!G27+'19'!G27+'20'!G27</f>
        <v>0</v>
      </c>
      <c r="AJ25" s="26"/>
    </row>
    <row r="26" spans="1:41" x14ac:dyDescent="0.25">
      <c r="A26" s="65" t="s">
        <v>15</v>
      </c>
      <c r="B26" s="65"/>
      <c r="C26" s="20">
        <f>+C10+C22+C23-C24+C25</f>
        <v>3397.75</v>
      </c>
      <c r="D26" s="26"/>
      <c r="E26" s="65" t="s">
        <v>15</v>
      </c>
      <c r="F26" s="65"/>
      <c r="G26" s="20">
        <f>+G10+G22+G23+G25</f>
        <v>1977</v>
      </c>
      <c r="H26" s="26"/>
      <c r="I26" s="65" t="s">
        <v>15</v>
      </c>
      <c r="J26" s="65"/>
      <c r="K26" s="20">
        <f>+K10+K22+K23+K25</f>
        <v>2727.5</v>
      </c>
      <c r="L26" s="26"/>
      <c r="M26" s="65" t="s">
        <v>15</v>
      </c>
      <c r="N26" s="65"/>
      <c r="O26" s="20">
        <f>+O10+O22+O23+O25</f>
        <v>4486.25</v>
      </c>
      <c r="P26" s="26"/>
      <c r="Q26" s="65" t="s">
        <v>15</v>
      </c>
      <c r="R26" s="65"/>
      <c r="S26" s="20">
        <f>+S10+S22+S23+S25</f>
        <v>3697.75</v>
      </c>
      <c r="T26" s="26"/>
      <c r="U26" s="65" t="s">
        <v>15</v>
      </c>
      <c r="V26" s="65"/>
      <c r="W26" s="20">
        <f>+W10+W22+W23+W25</f>
        <v>3198.25</v>
      </c>
      <c r="X26" s="26"/>
      <c r="Y26" s="65" t="s">
        <v>15</v>
      </c>
      <c r="Z26" s="65"/>
      <c r="AA26" s="20">
        <f>+AA10+AA22+AA23+AA25</f>
        <v>1915</v>
      </c>
      <c r="AB26" s="26"/>
      <c r="AC26" s="65" t="s">
        <v>15</v>
      </c>
      <c r="AD26" s="65"/>
      <c r="AE26" s="20">
        <f>+AE10+AE22+AE23+AE25</f>
        <v>3355</v>
      </c>
      <c r="AF26" s="26"/>
      <c r="AG26" s="65" t="s">
        <v>15</v>
      </c>
      <c r="AH26" s="65"/>
      <c r="AI26" s="20">
        <f>+AI10+AI22+AI23+AI25</f>
        <v>1580</v>
      </c>
      <c r="AJ26" s="26"/>
    </row>
    <row r="27" spans="1:41" ht="6.75" customHeight="1" x14ac:dyDescent="0.25">
      <c r="A27" s="28"/>
      <c r="B27" s="29"/>
      <c r="C27" s="30"/>
      <c r="D27" s="26"/>
      <c r="E27" s="28"/>
      <c r="F27" s="29"/>
      <c r="G27" s="30"/>
      <c r="H27" s="26"/>
      <c r="I27" s="28"/>
      <c r="J27" s="29"/>
      <c r="K27" s="30"/>
      <c r="L27" s="26"/>
      <c r="M27" s="28"/>
      <c r="N27" s="29"/>
      <c r="O27" s="30"/>
      <c r="P27" s="26"/>
      <c r="Q27" s="28"/>
      <c r="R27" s="29"/>
      <c r="S27" s="30"/>
      <c r="T27" s="26"/>
      <c r="U27" s="28"/>
      <c r="V27" s="29"/>
      <c r="W27" s="30"/>
      <c r="X27" s="26"/>
      <c r="Y27" s="28"/>
      <c r="Z27" s="29"/>
      <c r="AA27" s="30"/>
      <c r="AB27" s="26"/>
      <c r="AC27" s="28"/>
      <c r="AD27" s="29"/>
      <c r="AE27" s="30"/>
      <c r="AF27" s="26"/>
      <c r="AG27" s="28"/>
      <c r="AH27" s="29"/>
      <c r="AI27" s="30"/>
      <c r="AJ27" s="26"/>
    </row>
    <row r="28" spans="1:41" x14ac:dyDescent="0.25">
      <c r="A28" s="67" t="str">
        <f>A1</f>
        <v>Week 1</v>
      </c>
      <c r="B28" s="67"/>
      <c r="C28" s="21">
        <f>+'1'!B9+'2'!B9+'3'!B9+'4'!B9+'5'!B9+'6'!B9+'7'!B9+'8'!B9+'9'!B9+'10'!B9+'11'!B9+'12'!B9+'13'!B9+'14'!B9+'15'!B9+'16'!B9+'17'!B9+'18'!B9+'19'!B9+'20'!B9</f>
        <v>4340</v>
      </c>
      <c r="D28" s="26"/>
      <c r="E28" s="67" t="str">
        <f>E1</f>
        <v>Week 2</v>
      </c>
      <c r="F28" s="67"/>
      <c r="G28" s="21">
        <f>+'1'!C9+'2'!C9+'3'!C9+'4'!C9+'5'!C9+'6'!C9+'7'!C9+'8'!C9+'9'!C9+'10'!C9+'11'!C9+'12'!C9+'13'!C9+'14'!C9+'15'!C9+'16'!C9+'17'!C9+'18'!C9+'19'!C9+'20'!C9</f>
        <v>2085</v>
      </c>
      <c r="H28" s="26"/>
      <c r="I28" s="67" t="str">
        <f>I1</f>
        <v>Week 3</v>
      </c>
      <c r="J28" s="67"/>
      <c r="K28" s="21">
        <f>+'1'!D9+'2'!D9+'3'!D9+'4'!D9+'5'!D9+'6'!D9+'7'!D9+'8'!D9+'9'!D9+'10'!D9+'11'!D9+'12'!D9+'13'!D9+'14'!D9+'15'!D9+'16'!D9+'17'!D9+'18'!D9+'19'!D9+'20'!D9</f>
        <v>2655.5</v>
      </c>
      <c r="L28" s="26"/>
      <c r="M28" s="67" t="str">
        <f>M1</f>
        <v>Week 4</v>
      </c>
      <c r="N28" s="67"/>
      <c r="O28" s="21">
        <f>+'1'!E9+'2'!E9+'3'!E9+'4'!E9+'5'!E9+'6'!E9+'7'!E9+'8'!E9+'9'!E9+'10'!E9+'11'!E9+'12'!E9+'13'!E9+'14'!E9+'15'!E9+'16'!E9+'17'!E9+'18'!E9+'19'!E9+'20'!E9</f>
        <v>4584.25</v>
      </c>
      <c r="P28" s="26"/>
      <c r="Q28" s="67" t="str">
        <f>Q1</f>
        <v>Week 5</v>
      </c>
      <c r="R28" s="67"/>
      <c r="S28" s="21">
        <f>+'1'!F9+'2'!F9+'3'!F9+'4'!F9+'5'!F9+'6'!F9+'7'!F9+'8'!F9+'9'!F9+'10'!F9+'11'!F9+'12'!F9+'13'!F9+'14'!F9+'15'!F9+'16'!F9+'17'!F9+'18'!F9+'19'!F9+'20'!F9</f>
        <v>3665.75</v>
      </c>
      <c r="T28" s="26"/>
      <c r="U28" s="67" t="str">
        <f>U1</f>
        <v>Week 6</v>
      </c>
      <c r="V28" s="67"/>
      <c r="W28" s="21">
        <f>+'1'!G9+'2'!G9+'3'!G9+'4'!G9+'5'!G9+'6'!G9+'7'!G9+'8'!G9+'9'!G9+'10'!G9+'11'!G9+'12'!G9+'13'!G9+'14'!G9+'15'!G9+'16'!G9+'17'!G9+'18'!G9+'19'!G9+'20'!G9</f>
        <v>3165.25</v>
      </c>
      <c r="X28" s="26"/>
      <c r="Y28" s="67" t="str">
        <f>Y1</f>
        <v>Week 7</v>
      </c>
      <c r="Z28" s="67"/>
      <c r="AA28" s="21">
        <f>+'1'!H9+'2'!H9+'3'!H9+'4'!H9+'5'!H9+'6'!H9+'7'!H9+'8'!H9+'9'!H9+'10'!H9+'11'!H9+'12'!H9+'13'!H9+'14'!H9+'15'!H9+'16'!H9+'17'!H9+'18'!H9+'19'!H9+'20'!H9</f>
        <v>1840</v>
      </c>
      <c r="AB28" s="26"/>
      <c r="AC28" s="67" t="str">
        <f>AC1</f>
        <v>Week 8</v>
      </c>
      <c r="AD28" s="67"/>
      <c r="AE28" s="21">
        <f>+'1'!I9+'2'!I9+'3'!I9+'4'!I9+'5'!I9+'6'!I9+'7'!I9+'8'!I9+'9'!I9+'10'!I9+'11'!I9+'12'!I9+'13'!I9+'14'!I9+'15'!I9+'16'!I9+'17'!I9+'18'!I9+'19'!I9+'20'!I9</f>
        <v>3290</v>
      </c>
      <c r="AF28" s="26"/>
      <c r="AG28" s="67" t="str">
        <f>AG1</f>
        <v>Week 9</v>
      </c>
      <c r="AH28" s="67"/>
      <c r="AI28" s="21">
        <f>+'1'!J9+'2'!J9+'3'!J9+'4'!J9+'5'!J9+'6'!J9+'7'!J9+'8'!J9+'9'!J9+'10'!J9+'11'!J9+'12'!J9+'13'!J9+'14'!J9+'15'!J9+'16'!J9+'17'!J9+'18'!J9+'19'!J9+'20'!J9</f>
        <v>1760</v>
      </c>
      <c r="AJ28" s="26"/>
    </row>
    <row r="29" spans="1:41" x14ac:dyDescent="0.25">
      <c r="A29" s="68" t="s">
        <v>16</v>
      </c>
      <c r="B29" s="68"/>
      <c r="C29" s="21">
        <f>+C26-C28</f>
        <v>-942.25</v>
      </c>
      <c r="D29" s="26"/>
      <c r="E29" s="68" t="s">
        <v>16</v>
      </c>
      <c r="F29" s="68"/>
      <c r="G29" s="21">
        <f>+G26-G28</f>
        <v>-108</v>
      </c>
      <c r="H29" s="26"/>
      <c r="I29" s="68" t="s">
        <v>16</v>
      </c>
      <c r="J29" s="68"/>
      <c r="K29" s="21">
        <f>+K26-K28</f>
        <v>72</v>
      </c>
      <c r="L29" s="26"/>
      <c r="M29" s="68" t="s">
        <v>16</v>
      </c>
      <c r="N29" s="68"/>
      <c r="O29" s="21">
        <f>+O26-O28</f>
        <v>-98</v>
      </c>
      <c r="P29" s="26"/>
      <c r="Q29" s="68" t="s">
        <v>16</v>
      </c>
      <c r="R29" s="68"/>
      <c r="S29" s="21">
        <f>+S26-S28</f>
        <v>32</v>
      </c>
      <c r="T29" s="26"/>
      <c r="U29" s="68" t="s">
        <v>16</v>
      </c>
      <c r="V29" s="68"/>
      <c r="W29" s="21">
        <f>+W26-W28</f>
        <v>33</v>
      </c>
      <c r="X29" s="26"/>
      <c r="Y29" s="68" t="s">
        <v>16</v>
      </c>
      <c r="Z29" s="68"/>
      <c r="AA29" s="21">
        <f>+AA26-AA28</f>
        <v>75</v>
      </c>
      <c r="AB29" s="26"/>
      <c r="AC29" s="68" t="s">
        <v>16</v>
      </c>
      <c r="AD29" s="68"/>
      <c r="AE29" s="21">
        <f>+AE26-AE28</f>
        <v>65</v>
      </c>
      <c r="AF29" s="26"/>
      <c r="AG29" s="68" t="s">
        <v>16</v>
      </c>
      <c r="AH29" s="68"/>
      <c r="AI29" s="21">
        <f>+AI26-AI28</f>
        <v>-180</v>
      </c>
      <c r="AJ29" s="26"/>
    </row>
    <row r="30" spans="1:41" ht="6.75" customHeight="1" x14ac:dyDescent="0.25">
      <c r="A30" s="28"/>
      <c r="B30" s="29"/>
      <c r="C30" s="30"/>
      <c r="D30" s="30"/>
      <c r="E30" s="28"/>
      <c r="F30" s="29"/>
      <c r="G30" s="30"/>
      <c r="H30" s="30"/>
      <c r="I30" s="28"/>
      <c r="J30" s="29"/>
      <c r="K30" s="30"/>
      <c r="L30" s="30"/>
      <c r="M30" s="28"/>
      <c r="N30" s="29"/>
      <c r="O30" s="30"/>
      <c r="P30" s="30"/>
      <c r="Q30" s="28"/>
      <c r="R30" s="29"/>
      <c r="S30" s="30"/>
      <c r="T30" s="30"/>
      <c r="U30" s="28"/>
      <c r="V30" s="29"/>
      <c r="W30" s="30"/>
      <c r="X30" s="30"/>
      <c r="Y30" s="28"/>
      <c r="Z30" s="29"/>
      <c r="AA30" s="30"/>
      <c r="AB30" s="30"/>
      <c r="AC30" s="28"/>
      <c r="AD30" s="29"/>
      <c r="AE30" s="30"/>
      <c r="AF30" s="30"/>
      <c r="AG30" s="28"/>
      <c r="AH30" s="29"/>
      <c r="AI30" s="30"/>
      <c r="AJ30" s="30"/>
    </row>
    <row r="31" spans="1:41" ht="15.75" thickBot="1" x14ac:dyDescent="0.3"/>
    <row r="32" spans="1:41" ht="15.75" thickBot="1" x14ac:dyDescent="0.3">
      <c r="A32" s="63" t="s">
        <v>17</v>
      </c>
      <c r="B32" s="64"/>
      <c r="C32" s="39">
        <v>73</v>
      </c>
      <c r="E32" s="63" t="s">
        <v>17</v>
      </c>
      <c r="F32" s="64"/>
      <c r="G32" s="39">
        <v>80</v>
      </c>
      <c r="I32" s="63" t="s">
        <v>17</v>
      </c>
      <c r="J32" s="64"/>
      <c r="K32" s="39">
        <v>86</v>
      </c>
      <c r="M32" s="63" t="s">
        <v>17</v>
      </c>
      <c r="N32" s="64"/>
      <c r="O32" s="39">
        <v>90</v>
      </c>
      <c r="Q32" s="63" t="s">
        <v>17</v>
      </c>
      <c r="R32" s="64"/>
      <c r="S32" s="39">
        <v>90</v>
      </c>
      <c r="U32" s="63" t="s">
        <v>17</v>
      </c>
      <c r="V32" s="64"/>
      <c r="W32" s="39">
        <v>84</v>
      </c>
      <c r="Y32" s="63" t="s">
        <v>17</v>
      </c>
      <c r="Z32" s="64"/>
      <c r="AA32" s="39">
        <v>84</v>
      </c>
      <c r="AC32" s="63" t="s">
        <v>17</v>
      </c>
      <c r="AD32" s="64"/>
      <c r="AE32" s="39">
        <v>79</v>
      </c>
      <c r="AG32" s="63" t="s">
        <v>17</v>
      </c>
      <c r="AH32" s="64"/>
      <c r="AI32" s="39">
        <v>79</v>
      </c>
    </row>
    <row r="50" spans="1:1" x14ac:dyDescent="0.25"/>
  </sheetData>
  <sheetProtection selectLockedCells="1"/>
  <mergeCells count="90">
    <mergeCell ref="A2:C2"/>
    <mergeCell ref="A11:C11"/>
    <mergeCell ref="A1:C1"/>
    <mergeCell ref="E1:G1"/>
    <mergeCell ref="E2:G2"/>
    <mergeCell ref="E11:G11"/>
    <mergeCell ref="I1:K1"/>
    <mergeCell ref="I2:K2"/>
    <mergeCell ref="I11:K11"/>
    <mergeCell ref="M1:O1"/>
    <mergeCell ref="M2:O2"/>
    <mergeCell ref="M11:O11"/>
    <mergeCell ref="Q1:S1"/>
    <mergeCell ref="Q2:S2"/>
    <mergeCell ref="Q11:S11"/>
    <mergeCell ref="U1:W1"/>
    <mergeCell ref="U2:W2"/>
    <mergeCell ref="U11:W11"/>
    <mergeCell ref="AG1:AI1"/>
    <mergeCell ref="AG2:AI2"/>
    <mergeCell ref="AG11:AI11"/>
    <mergeCell ref="Y1:AA1"/>
    <mergeCell ref="Y2:AA2"/>
    <mergeCell ref="Y11:AA11"/>
    <mergeCell ref="AC1:AE1"/>
    <mergeCell ref="AC2:AE2"/>
    <mergeCell ref="AC11:AE11"/>
    <mergeCell ref="E23:F23"/>
    <mergeCell ref="E24:F24"/>
    <mergeCell ref="E26:F26"/>
    <mergeCell ref="E28:F28"/>
    <mergeCell ref="E29:F29"/>
    <mergeCell ref="E25:F25"/>
    <mergeCell ref="A23:B23"/>
    <mergeCell ref="A24:B24"/>
    <mergeCell ref="A26:B26"/>
    <mergeCell ref="A28:B28"/>
    <mergeCell ref="A29:B29"/>
    <mergeCell ref="A25:B25"/>
    <mergeCell ref="M23:N23"/>
    <mergeCell ref="M24:N24"/>
    <mergeCell ref="M26:N26"/>
    <mergeCell ref="M28:N28"/>
    <mergeCell ref="M29:N29"/>
    <mergeCell ref="M25:N25"/>
    <mergeCell ref="I23:J23"/>
    <mergeCell ref="I24:J24"/>
    <mergeCell ref="I26:J26"/>
    <mergeCell ref="I28:J28"/>
    <mergeCell ref="I29:J29"/>
    <mergeCell ref="I25:J25"/>
    <mergeCell ref="U23:V23"/>
    <mergeCell ref="U24:V24"/>
    <mergeCell ref="U26:V26"/>
    <mergeCell ref="U28:V28"/>
    <mergeCell ref="U29:V29"/>
    <mergeCell ref="Q23:R23"/>
    <mergeCell ref="Q24:R24"/>
    <mergeCell ref="Q26:R26"/>
    <mergeCell ref="Q28:R28"/>
    <mergeCell ref="Q29:R29"/>
    <mergeCell ref="Q25:R25"/>
    <mergeCell ref="AC23:AD23"/>
    <mergeCell ref="AC24:AD24"/>
    <mergeCell ref="AC26:AD26"/>
    <mergeCell ref="AC28:AD28"/>
    <mergeCell ref="AC29:AD29"/>
    <mergeCell ref="Y23:Z23"/>
    <mergeCell ref="Y24:Z24"/>
    <mergeCell ref="Y26:Z26"/>
    <mergeCell ref="Y28:Z28"/>
    <mergeCell ref="Y29:Z29"/>
    <mergeCell ref="AG23:AH23"/>
    <mergeCell ref="AG24:AH24"/>
    <mergeCell ref="AG26:AH26"/>
    <mergeCell ref="AG28:AH28"/>
    <mergeCell ref="AG29:AH29"/>
    <mergeCell ref="A32:B32"/>
    <mergeCell ref="E32:F32"/>
    <mergeCell ref="I32:J32"/>
    <mergeCell ref="M32:N32"/>
    <mergeCell ref="Q32:R32"/>
    <mergeCell ref="Y32:Z32"/>
    <mergeCell ref="AC32:AD32"/>
    <mergeCell ref="AG32:AH32"/>
    <mergeCell ref="U25:V25"/>
    <mergeCell ref="Y25:Z25"/>
    <mergeCell ref="AC25:AD25"/>
    <mergeCell ref="AG25:AH25"/>
    <mergeCell ref="U32:V32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52A4-479C-4D58-A704-E6FB1E0ACA06}">
  <sheetPr codeName="Sheet2"/>
  <dimension ref="A1:AJ34"/>
  <sheetViews>
    <sheetView tabSelected="1" topLeftCell="W7" workbookViewId="0">
      <selection activeCell="AM16" sqref="AM16"/>
    </sheetView>
  </sheetViews>
  <sheetFormatPr defaultRowHeight="15" x14ac:dyDescent="0.25"/>
  <cols>
    <col min="1" max="1" width="7.42578125" style="31" customWidth="1"/>
    <col min="2" max="2" width="7.42578125" customWidth="1"/>
    <col min="3" max="3" width="12.28515625" style="20" customWidth="1"/>
    <col min="4" max="4" width="1.7109375" style="20" customWidth="1"/>
    <col min="5" max="5" width="7.42578125" style="31" customWidth="1"/>
    <col min="6" max="6" width="7.42578125" customWidth="1"/>
    <col min="7" max="7" width="12.28515625" style="20" customWidth="1"/>
    <col min="8" max="8" width="1.7109375" style="20" customWidth="1"/>
    <col min="9" max="9" width="7.42578125" style="31" customWidth="1"/>
    <col min="10" max="10" width="7.42578125" customWidth="1"/>
    <col min="11" max="11" width="12.28515625" style="20" customWidth="1"/>
    <col min="12" max="12" width="1.7109375" style="20" customWidth="1"/>
    <col min="13" max="13" width="7.42578125" style="31" customWidth="1"/>
    <col min="14" max="14" width="7.42578125" customWidth="1"/>
    <col min="15" max="15" width="12.28515625" style="20" customWidth="1"/>
    <col min="16" max="16" width="1.7109375" style="20" customWidth="1"/>
    <col min="17" max="17" width="7.42578125" style="31" customWidth="1"/>
    <col min="18" max="18" width="7.42578125" customWidth="1"/>
    <col min="19" max="19" width="12.28515625" style="20" customWidth="1"/>
    <col min="20" max="20" width="1.7109375" style="20" customWidth="1"/>
    <col min="21" max="21" width="7.42578125" style="31" customWidth="1"/>
    <col min="22" max="22" width="7.42578125" customWidth="1"/>
    <col min="23" max="23" width="12.28515625" style="20" customWidth="1"/>
    <col min="24" max="24" width="1.7109375" style="20" customWidth="1"/>
    <col min="25" max="25" width="7.42578125" style="31" customWidth="1"/>
    <col min="26" max="26" width="7.42578125" customWidth="1"/>
    <col min="27" max="27" width="12.28515625" style="20" customWidth="1"/>
    <col min="28" max="28" width="1.7109375" style="20" customWidth="1"/>
    <col min="29" max="29" width="7.42578125" style="31" customWidth="1"/>
    <col min="30" max="30" width="7.42578125" customWidth="1"/>
    <col min="31" max="31" width="12.28515625" style="20" customWidth="1"/>
    <col min="32" max="32" width="1.7109375" style="20" customWidth="1"/>
    <col min="33" max="33" width="7.42578125" style="31" customWidth="1"/>
    <col min="34" max="34" width="7.42578125" customWidth="1"/>
    <col min="35" max="35" width="12.28515625" style="20" customWidth="1"/>
    <col min="36" max="36" width="1.7109375" style="20" customWidth="1"/>
  </cols>
  <sheetData>
    <row r="1" spans="1:36" x14ac:dyDescent="0.25">
      <c r="A1" s="69" t="s">
        <v>18</v>
      </c>
      <c r="B1" s="70"/>
      <c r="C1" s="70"/>
      <c r="D1" s="25"/>
      <c r="E1" s="69" t="s">
        <v>19</v>
      </c>
      <c r="F1" s="70"/>
      <c r="G1" s="70"/>
      <c r="H1" s="25"/>
      <c r="I1" s="69" t="s">
        <v>20</v>
      </c>
      <c r="J1" s="70"/>
      <c r="K1" s="70"/>
      <c r="L1" s="25"/>
      <c r="M1" s="69" t="s">
        <v>21</v>
      </c>
      <c r="N1" s="70"/>
      <c r="O1" s="70"/>
      <c r="P1" s="25"/>
      <c r="Q1" s="69" t="s">
        <v>22</v>
      </c>
      <c r="R1" s="70"/>
      <c r="S1" s="70"/>
      <c r="T1" s="25"/>
      <c r="U1" s="69" t="s">
        <v>23</v>
      </c>
      <c r="V1" s="70"/>
      <c r="W1" s="70"/>
      <c r="X1" s="25"/>
      <c r="Y1" s="69" t="s">
        <v>24</v>
      </c>
      <c r="Z1" s="70"/>
      <c r="AA1" s="70"/>
      <c r="AB1" s="25"/>
      <c r="AC1" s="69" t="s">
        <v>25</v>
      </c>
      <c r="AD1" s="70"/>
      <c r="AE1" s="70"/>
      <c r="AF1" s="25"/>
      <c r="AG1" s="69" t="s">
        <v>26</v>
      </c>
      <c r="AH1" s="70"/>
      <c r="AI1" s="70"/>
      <c r="AJ1" s="25"/>
    </row>
    <row r="2" spans="1:36" x14ac:dyDescent="0.25">
      <c r="A2" s="71" t="s">
        <v>9</v>
      </c>
      <c r="B2" s="72"/>
      <c r="C2" s="72"/>
      <c r="D2" s="25"/>
      <c r="E2" s="71" t="s">
        <v>9</v>
      </c>
      <c r="F2" s="72"/>
      <c r="G2" s="72"/>
      <c r="H2" s="25"/>
      <c r="I2" s="71" t="s">
        <v>9</v>
      </c>
      <c r="J2" s="72"/>
      <c r="K2" s="72"/>
      <c r="L2" s="25"/>
      <c r="M2" s="71" t="s">
        <v>9</v>
      </c>
      <c r="N2" s="72"/>
      <c r="O2" s="72"/>
      <c r="P2" s="25"/>
      <c r="Q2" s="71" t="s">
        <v>9</v>
      </c>
      <c r="R2" s="72"/>
      <c r="S2" s="72"/>
      <c r="T2" s="25"/>
      <c r="U2" s="71" t="s">
        <v>9</v>
      </c>
      <c r="V2" s="72"/>
      <c r="W2" s="72"/>
      <c r="X2" s="25"/>
      <c r="Y2" s="71" t="s">
        <v>9</v>
      </c>
      <c r="Z2" s="72"/>
      <c r="AA2" s="72"/>
      <c r="AB2" s="25"/>
      <c r="AC2" s="71" t="s">
        <v>9</v>
      </c>
      <c r="AD2" s="72"/>
      <c r="AE2" s="72"/>
      <c r="AF2" s="25"/>
      <c r="AG2" s="71" t="s">
        <v>9</v>
      </c>
      <c r="AH2" s="72"/>
      <c r="AI2" s="72"/>
      <c r="AJ2" s="25"/>
    </row>
    <row r="3" spans="1:36" x14ac:dyDescent="0.25">
      <c r="A3" s="16">
        <v>1</v>
      </c>
      <c r="B3" s="24">
        <v>0</v>
      </c>
      <c r="C3" s="17">
        <f>+A3*B3</f>
        <v>0</v>
      </c>
      <c r="D3" s="26"/>
      <c r="E3" s="16">
        <v>1</v>
      </c>
      <c r="F3" s="24">
        <v>0</v>
      </c>
      <c r="G3" s="17">
        <f>+E3*F3</f>
        <v>0</v>
      </c>
      <c r="H3" s="26"/>
      <c r="I3" s="16">
        <v>1</v>
      </c>
      <c r="J3" s="24">
        <v>15</v>
      </c>
      <c r="K3" s="17">
        <f>+I3*J3</f>
        <v>15</v>
      </c>
      <c r="L3" s="26"/>
      <c r="M3" s="16">
        <v>1</v>
      </c>
      <c r="N3" s="24">
        <v>0</v>
      </c>
      <c r="O3" s="17">
        <f>+M3*N3</f>
        <v>0</v>
      </c>
      <c r="P3" s="26"/>
      <c r="Q3" s="16">
        <v>1</v>
      </c>
      <c r="R3" s="24">
        <v>20</v>
      </c>
      <c r="S3" s="17">
        <f>+Q3*R3</f>
        <v>20</v>
      </c>
      <c r="T3" s="26"/>
      <c r="U3" s="16">
        <v>1</v>
      </c>
      <c r="V3" s="24">
        <v>0</v>
      </c>
      <c r="W3" s="17">
        <f>+U3*V3</f>
        <v>0</v>
      </c>
      <c r="X3" s="26"/>
      <c r="Y3" s="16">
        <v>1</v>
      </c>
      <c r="Z3" s="24">
        <v>0</v>
      </c>
      <c r="AA3" s="17">
        <f>+Y3*Z3</f>
        <v>0</v>
      </c>
      <c r="AB3" s="26"/>
      <c r="AC3" s="16">
        <v>1</v>
      </c>
      <c r="AD3" s="24">
        <v>15</v>
      </c>
      <c r="AE3" s="17">
        <f>+AC3*AD3</f>
        <v>15</v>
      </c>
      <c r="AF3" s="26"/>
      <c r="AG3" s="16">
        <v>1</v>
      </c>
      <c r="AH3" s="24">
        <v>0</v>
      </c>
      <c r="AI3" s="17">
        <f>+AG3*AH3</f>
        <v>0</v>
      </c>
      <c r="AJ3" s="26"/>
    </row>
    <row r="4" spans="1:36" x14ac:dyDescent="0.25">
      <c r="A4" s="16">
        <v>5</v>
      </c>
      <c r="B4" s="24">
        <v>14</v>
      </c>
      <c r="C4" s="17">
        <f t="shared" ref="C4:C9" si="0">+A4*B4</f>
        <v>70</v>
      </c>
      <c r="D4" s="26"/>
      <c r="E4" s="16">
        <v>5</v>
      </c>
      <c r="F4" s="24">
        <v>8</v>
      </c>
      <c r="G4" s="17">
        <f t="shared" ref="G4:G9" si="1">+E4*F4</f>
        <v>40</v>
      </c>
      <c r="H4" s="26"/>
      <c r="I4" s="16">
        <v>5</v>
      </c>
      <c r="J4" s="24">
        <v>6</v>
      </c>
      <c r="K4" s="17">
        <f t="shared" ref="K4:K9" si="2">+I4*J4</f>
        <v>30</v>
      </c>
      <c r="L4" s="26"/>
      <c r="M4" s="16">
        <v>5</v>
      </c>
      <c r="N4" s="24">
        <v>9</v>
      </c>
      <c r="O4" s="17">
        <f t="shared" ref="O4:O9" si="3">+M4*N4</f>
        <v>45</v>
      </c>
      <c r="P4" s="26"/>
      <c r="Q4" s="16">
        <v>5</v>
      </c>
      <c r="R4" s="24">
        <v>12</v>
      </c>
      <c r="S4" s="17">
        <f t="shared" ref="S4:S9" si="4">+Q4*R4</f>
        <v>60</v>
      </c>
      <c r="T4" s="26"/>
      <c r="U4" s="16">
        <v>5</v>
      </c>
      <c r="V4" s="24">
        <v>0</v>
      </c>
      <c r="W4" s="17">
        <f t="shared" ref="W4:W9" si="5">+U4*V4</f>
        <v>0</v>
      </c>
      <c r="X4" s="26"/>
      <c r="Y4" s="16">
        <v>5</v>
      </c>
      <c r="Z4" s="24">
        <v>0</v>
      </c>
      <c r="AA4" s="17">
        <f t="shared" ref="AA4:AA9" si="6">+Y4*Z4</f>
        <v>0</v>
      </c>
      <c r="AB4" s="26"/>
      <c r="AC4" s="16">
        <v>5</v>
      </c>
      <c r="AD4" s="24">
        <v>13</v>
      </c>
      <c r="AE4" s="17">
        <f t="shared" ref="AE4:AE9" si="7">+AC4*AD4</f>
        <v>65</v>
      </c>
      <c r="AF4" s="26"/>
      <c r="AG4" s="16">
        <v>5</v>
      </c>
      <c r="AH4" s="24">
        <v>15</v>
      </c>
      <c r="AI4" s="17">
        <f t="shared" ref="AI4:AI9" si="8">+AG4*AH4</f>
        <v>75</v>
      </c>
      <c r="AJ4" s="26"/>
    </row>
    <row r="5" spans="1:36" x14ac:dyDescent="0.25">
      <c r="A5" s="16">
        <v>10</v>
      </c>
      <c r="B5" s="24">
        <v>4</v>
      </c>
      <c r="C5" s="17">
        <f t="shared" si="0"/>
        <v>40</v>
      </c>
      <c r="D5" s="26"/>
      <c r="E5" s="16">
        <v>10</v>
      </c>
      <c r="F5" s="24">
        <v>5</v>
      </c>
      <c r="G5" s="17">
        <f t="shared" si="1"/>
        <v>50</v>
      </c>
      <c r="H5" s="26"/>
      <c r="I5" s="16">
        <v>10</v>
      </c>
      <c r="J5" s="24">
        <v>3</v>
      </c>
      <c r="K5" s="17">
        <f t="shared" si="2"/>
        <v>30</v>
      </c>
      <c r="L5" s="26"/>
      <c r="M5" s="16">
        <v>10</v>
      </c>
      <c r="N5" s="24">
        <v>4</v>
      </c>
      <c r="O5" s="17">
        <f t="shared" si="3"/>
        <v>40</v>
      </c>
      <c r="P5" s="26"/>
      <c r="Q5" s="16">
        <v>10</v>
      </c>
      <c r="R5" s="24">
        <v>5</v>
      </c>
      <c r="S5" s="17">
        <f t="shared" si="4"/>
        <v>50</v>
      </c>
      <c r="T5" s="26"/>
      <c r="U5" s="16">
        <v>10</v>
      </c>
      <c r="V5" s="24">
        <v>0</v>
      </c>
      <c r="W5" s="17">
        <f t="shared" si="5"/>
        <v>0</v>
      </c>
      <c r="X5" s="26"/>
      <c r="Y5" s="16">
        <v>10</v>
      </c>
      <c r="Z5" s="24">
        <v>0</v>
      </c>
      <c r="AA5" s="17">
        <f t="shared" si="6"/>
        <v>0</v>
      </c>
      <c r="AB5" s="26"/>
      <c r="AC5" s="16">
        <v>10</v>
      </c>
      <c r="AD5" s="24">
        <v>5</v>
      </c>
      <c r="AE5" s="17">
        <f t="shared" si="7"/>
        <v>50</v>
      </c>
      <c r="AF5" s="26"/>
      <c r="AG5" s="16">
        <v>10</v>
      </c>
      <c r="AH5" s="24">
        <v>4</v>
      </c>
      <c r="AI5" s="17">
        <f t="shared" si="8"/>
        <v>40</v>
      </c>
      <c r="AJ5" s="26"/>
    </row>
    <row r="6" spans="1:36" x14ac:dyDescent="0.25">
      <c r="A6" s="16">
        <v>20</v>
      </c>
      <c r="B6" s="24">
        <v>77</v>
      </c>
      <c r="C6" s="17">
        <f t="shared" si="0"/>
        <v>1540</v>
      </c>
      <c r="D6" s="26"/>
      <c r="E6" s="16">
        <v>20</v>
      </c>
      <c r="F6" s="24">
        <v>39</v>
      </c>
      <c r="G6" s="17">
        <f t="shared" si="1"/>
        <v>780</v>
      </c>
      <c r="H6" s="26"/>
      <c r="I6" s="16">
        <v>20</v>
      </c>
      <c r="J6" s="24">
        <v>29</v>
      </c>
      <c r="K6" s="17">
        <f t="shared" si="2"/>
        <v>580</v>
      </c>
      <c r="L6" s="26"/>
      <c r="M6" s="16">
        <v>20</v>
      </c>
      <c r="N6" s="24">
        <v>0</v>
      </c>
      <c r="O6" s="17">
        <f t="shared" si="3"/>
        <v>0</v>
      </c>
      <c r="P6" s="26"/>
      <c r="Q6" s="16">
        <v>20</v>
      </c>
      <c r="R6" s="24">
        <v>73</v>
      </c>
      <c r="S6" s="17">
        <f t="shared" si="4"/>
        <v>1460</v>
      </c>
      <c r="T6" s="26"/>
      <c r="U6" s="16">
        <v>20</v>
      </c>
      <c r="V6" s="24">
        <v>0</v>
      </c>
      <c r="W6" s="17">
        <f t="shared" si="5"/>
        <v>0</v>
      </c>
      <c r="X6" s="26"/>
      <c r="Y6" s="16">
        <v>20</v>
      </c>
      <c r="Z6" s="24">
        <v>0</v>
      </c>
      <c r="AA6" s="17">
        <f t="shared" si="6"/>
        <v>0</v>
      </c>
      <c r="AB6" s="26"/>
      <c r="AC6" s="16">
        <v>20</v>
      </c>
      <c r="AD6" s="24">
        <v>37</v>
      </c>
      <c r="AE6" s="17">
        <f t="shared" si="7"/>
        <v>740</v>
      </c>
      <c r="AF6" s="26"/>
      <c r="AG6" s="16">
        <v>20</v>
      </c>
      <c r="AH6" s="24">
        <v>45</v>
      </c>
      <c r="AI6" s="17">
        <f t="shared" si="8"/>
        <v>900</v>
      </c>
      <c r="AJ6" s="26"/>
    </row>
    <row r="7" spans="1:36" x14ac:dyDescent="0.25">
      <c r="A7" s="16">
        <v>20</v>
      </c>
      <c r="B7" s="24">
        <v>0</v>
      </c>
      <c r="C7" s="17">
        <f t="shared" si="0"/>
        <v>0</v>
      </c>
      <c r="D7" s="26"/>
      <c r="E7" s="16">
        <v>20</v>
      </c>
      <c r="F7" s="24">
        <v>0</v>
      </c>
      <c r="G7" s="17">
        <f t="shared" si="1"/>
        <v>0</v>
      </c>
      <c r="H7" s="26"/>
      <c r="I7" s="16">
        <v>20</v>
      </c>
      <c r="J7" s="24">
        <v>0</v>
      </c>
      <c r="K7" s="17">
        <f t="shared" si="2"/>
        <v>0</v>
      </c>
      <c r="L7" s="26"/>
      <c r="M7" s="16">
        <v>20</v>
      </c>
      <c r="N7" s="24">
        <v>25</v>
      </c>
      <c r="O7" s="17">
        <f t="shared" si="3"/>
        <v>500</v>
      </c>
      <c r="P7" s="26"/>
      <c r="Q7" s="16">
        <v>20</v>
      </c>
      <c r="R7" s="24">
        <v>0</v>
      </c>
      <c r="S7" s="17">
        <f t="shared" si="4"/>
        <v>0</v>
      </c>
      <c r="T7" s="26"/>
      <c r="U7" s="16">
        <v>20</v>
      </c>
      <c r="V7" s="24">
        <v>0</v>
      </c>
      <c r="W7" s="17">
        <f t="shared" si="5"/>
        <v>0</v>
      </c>
      <c r="X7" s="26"/>
      <c r="Y7" s="16">
        <v>20</v>
      </c>
      <c r="Z7" s="24">
        <v>0</v>
      </c>
      <c r="AA7" s="17">
        <f t="shared" si="6"/>
        <v>0</v>
      </c>
      <c r="AB7" s="26"/>
      <c r="AC7" s="16">
        <v>20</v>
      </c>
      <c r="AD7" s="24">
        <v>0</v>
      </c>
      <c r="AE7" s="17">
        <f t="shared" si="7"/>
        <v>0</v>
      </c>
      <c r="AF7" s="26"/>
      <c r="AG7" s="16">
        <v>20</v>
      </c>
      <c r="AH7" s="24">
        <v>0</v>
      </c>
      <c r="AI7" s="17">
        <f t="shared" si="8"/>
        <v>0</v>
      </c>
      <c r="AJ7" s="26"/>
    </row>
    <row r="8" spans="1:36" x14ac:dyDescent="0.25">
      <c r="A8" s="16">
        <v>50</v>
      </c>
      <c r="B8" s="24">
        <v>0</v>
      </c>
      <c r="C8" s="17">
        <f t="shared" si="0"/>
        <v>0</v>
      </c>
      <c r="D8" s="26"/>
      <c r="E8" s="16">
        <v>50</v>
      </c>
      <c r="F8" s="24">
        <v>2</v>
      </c>
      <c r="G8" s="17">
        <f t="shared" si="1"/>
        <v>100</v>
      </c>
      <c r="H8" s="26"/>
      <c r="I8" s="16">
        <v>50</v>
      </c>
      <c r="J8" s="24">
        <v>1</v>
      </c>
      <c r="K8" s="17">
        <f t="shared" si="2"/>
        <v>50</v>
      </c>
      <c r="L8" s="26"/>
      <c r="M8" s="16">
        <v>50</v>
      </c>
      <c r="N8" s="24">
        <v>4</v>
      </c>
      <c r="O8" s="17">
        <f t="shared" si="3"/>
        <v>200</v>
      </c>
      <c r="P8" s="26"/>
      <c r="Q8" s="16">
        <v>50</v>
      </c>
      <c r="R8" s="24">
        <v>0</v>
      </c>
      <c r="S8" s="17">
        <f t="shared" si="4"/>
        <v>0</v>
      </c>
      <c r="T8" s="26"/>
      <c r="U8" s="16">
        <v>50</v>
      </c>
      <c r="V8" s="24">
        <v>0</v>
      </c>
      <c r="W8" s="17">
        <f t="shared" si="5"/>
        <v>0</v>
      </c>
      <c r="X8" s="26"/>
      <c r="Y8" s="16">
        <v>50</v>
      </c>
      <c r="Z8" s="24">
        <v>0</v>
      </c>
      <c r="AA8" s="17">
        <f t="shared" si="6"/>
        <v>0</v>
      </c>
      <c r="AB8" s="26"/>
      <c r="AC8" s="16">
        <v>50</v>
      </c>
      <c r="AD8" s="24">
        <v>1</v>
      </c>
      <c r="AE8" s="17">
        <f t="shared" si="7"/>
        <v>50</v>
      </c>
      <c r="AF8" s="26"/>
      <c r="AG8" s="16">
        <v>50</v>
      </c>
      <c r="AH8" s="24">
        <v>1</v>
      </c>
      <c r="AI8" s="17">
        <f t="shared" si="8"/>
        <v>50</v>
      </c>
      <c r="AJ8" s="26"/>
    </row>
    <row r="9" spans="1:36" x14ac:dyDescent="0.25">
      <c r="A9" s="16">
        <v>100</v>
      </c>
      <c r="B9" s="24">
        <v>1</v>
      </c>
      <c r="C9" s="17">
        <f t="shared" si="0"/>
        <v>100</v>
      </c>
      <c r="D9" s="26"/>
      <c r="E9" s="16">
        <v>100</v>
      </c>
      <c r="F9" s="24">
        <v>3</v>
      </c>
      <c r="G9" s="17">
        <f t="shared" si="1"/>
        <v>300</v>
      </c>
      <c r="H9" s="26"/>
      <c r="I9" s="16">
        <v>100</v>
      </c>
      <c r="J9" s="24">
        <v>0</v>
      </c>
      <c r="K9" s="17">
        <f t="shared" si="2"/>
        <v>0</v>
      </c>
      <c r="L9" s="26"/>
      <c r="M9" s="16">
        <v>100</v>
      </c>
      <c r="N9" s="24">
        <v>0</v>
      </c>
      <c r="O9" s="17">
        <f t="shared" si="3"/>
        <v>0</v>
      </c>
      <c r="P9" s="26"/>
      <c r="Q9" s="16">
        <v>100</v>
      </c>
      <c r="R9" s="24">
        <v>1</v>
      </c>
      <c r="S9" s="17">
        <f t="shared" si="4"/>
        <v>100</v>
      </c>
      <c r="T9" s="26"/>
      <c r="U9" s="16">
        <v>100</v>
      </c>
      <c r="V9" s="24">
        <v>0</v>
      </c>
      <c r="W9" s="17">
        <f t="shared" si="5"/>
        <v>0</v>
      </c>
      <c r="X9" s="26"/>
      <c r="Y9" s="16">
        <v>100</v>
      </c>
      <c r="Z9" s="24">
        <v>0</v>
      </c>
      <c r="AA9" s="17">
        <f t="shared" si="6"/>
        <v>0</v>
      </c>
      <c r="AB9" s="26"/>
      <c r="AC9" s="16">
        <v>100</v>
      </c>
      <c r="AD9" s="24">
        <v>3</v>
      </c>
      <c r="AE9" s="17">
        <f t="shared" si="7"/>
        <v>300</v>
      </c>
      <c r="AF9" s="26"/>
      <c r="AG9" s="16">
        <v>100</v>
      </c>
      <c r="AH9" s="24">
        <v>1</v>
      </c>
      <c r="AI9" s="17">
        <f t="shared" si="8"/>
        <v>100</v>
      </c>
      <c r="AJ9" s="26"/>
    </row>
    <row r="10" spans="1:36" x14ac:dyDescent="0.25">
      <c r="A10" s="16"/>
      <c r="B10" s="27" t="s">
        <v>10</v>
      </c>
      <c r="C10" s="18">
        <f>SUM(C3:C9)</f>
        <v>1750</v>
      </c>
      <c r="D10" s="26"/>
      <c r="E10" s="16"/>
      <c r="F10" s="27" t="s">
        <v>10</v>
      </c>
      <c r="G10" s="18">
        <f>SUM(G3:G9)</f>
        <v>1270</v>
      </c>
      <c r="H10" s="26"/>
      <c r="I10" s="16"/>
      <c r="J10" s="27" t="s">
        <v>10</v>
      </c>
      <c r="K10" s="18">
        <f>SUM(K3:K9)</f>
        <v>705</v>
      </c>
      <c r="L10" s="26"/>
      <c r="M10" s="16"/>
      <c r="N10" s="27" t="s">
        <v>10</v>
      </c>
      <c r="O10" s="18">
        <f>SUM(O3:O9)</f>
        <v>785</v>
      </c>
      <c r="P10" s="26"/>
      <c r="Q10" s="16"/>
      <c r="R10" s="27" t="s">
        <v>10</v>
      </c>
      <c r="S10" s="18">
        <f>SUM(S3:S9)</f>
        <v>1690</v>
      </c>
      <c r="T10" s="26"/>
      <c r="U10" s="16"/>
      <c r="V10" s="27" t="s">
        <v>10</v>
      </c>
      <c r="W10" s="18">
        <f>SUM(W3:W9)</f>
        <v>0</v>
      </c>
      <c r="X10" s="26"/>
      <c r="Y10" s="16"/>
      <c r="Z10" s="27" t="s">
        <v>10</v>
      </c>
      <c r="AA10" s="18">
        <f>SUM(AA3:AA9)</f>
        <v>0</v>
      </c>
      <c r="AB10" s="26"/>
      <c r="AC10" s="16"/>
      <c r="AD10" s="27" t="s">
        <v>10</v>
      </c>
      <c r="AE10" s="18">
        <f>SUM(AE3:AE9)</f>
        <v>1220</v>
      </c>
      <c r="AF10" s="26"/>
      <c r="AG10" s="16"/>
      <c r="AH10" s="27" t="s">
        <v>10</v>
      </c>
      <c r="AI10" s="18">
        <f>SUM(AI3:AI9)</f>
        <v>1165</v>
      </c>
      <c r="AJ10" s="26"/>
    </row>
    <row r="11" spans="1:36" x14ac:dyDescent="0.25">
      <c r="A11" s="71" t="s">
        <v>11</v>
      </c>
      <c r="B11" s="72"/>
      <c r="C11" s="72"/>
      <c r="D11" s="25"/>
      <c r="E11" s="71" t="s">
        <v>11</v>
      </c>
      <c r="F11" s="72"/>
      <c r="G11" s="72"/>
      <c r="H11" s="25"/>
      <c r="I11" s="71" t="s">
        <v>11</v>
      </c>
      <c r="J11" s="72"/>
      <c r="K11" s="72"/>
      <c r="L11" s="25"/>
      <c r="M11" s="71" t="s">
        <v>11</v>
      </c>
      <c r="N11" s="72"/>
      <c r="O11" s="72"/>
      <c r="P11" s="25"/>
      <c r="Q11" s="71" t="s">
        <v>11</v>
      </c>
      <c r="R11" s="72"/>
      <c r="S11" s="72"/>
      <c r="T11" s="25"/>
      <c r="U11" s="71" t="s">
        <v>11</v>
      </c>
      <c r="V11" s="72"/>
      <c r="W11" s="72"/>
      <c r="X11" s="25"/>
      <c r="Y11" s="71" t="s">
        <v>11</v>
      </c>
      <c r="Z11" s="72"/>
      <c r="AA11" s="72"/>
      <c r="AB11" s="25"/>
      <c r="AC11" s="71" t="s">
        <v>11</v>
      </c>
      <c r="AD11" s="72"/>
      <c r="AE11" s="72"/>
      <c r="AF11" s="25"/>
      <c r="AG11" s="71" t="s">
        <v>11</v>
      </c>
      <c r="AH11" s="72"/>
      <c r="AI11" s="72"/>
      <c r="AJ11" s="25"/>
    </row>
    <row r="12" spans="1:36" x14ac:dyDescent="0.25">
      <c r="A12" s="32">
        <v>30</v>
      </c>
      <c r="B12" s="24">
        <v>0</v>
      </c>
      <c r="C12" s="17">
        <f>+A12*B12</f>
        <v>0</v>
      </c>
      <c r="D12" s="26"/>
      <c r="E12" s="32">
        <v>30</v>
      </c>
      <c r="F12" s="24">
        <v>0</v>
      </c>
      <c r="G12" s="17">
        <f>+E12*F12</f>
        <v>0</v>
      </c>
      <c r="H12" s="26"/>
      <c r="I12" s="32">
        <v>30</v>
      </c>
      <c r="J12" s="24">
        <v>0</v>
      </c>
      <c r="K12" s="17">
        <f>+I12*J12</f>
        <v>0</v>
      </c>
      <c r="L12" s="26"/>
      <c r="M12" s="32">
        <v>30</v>
      </c>
      <c r="N12" s="24">
        <v>0</v>
      </c>
      <c r="O12" s="17">
        <f>+M12*N12</f>
        <v>0</v>
      </c>
      <c r="P12" s="26"/>
      <c r="Q12" s="32">
        <v>30</v>
      </c>
      <c r="R12" s="24">
        <v>0</v>
      </c>
      <c r="S12" s="17">
        <f>+Q12*R12</f>
        <v>0</v>
      </c>
      <c r="T12" s="26"/>
      <c r="U12" s="32">
        <v>30</v>
      </c>
      <c r="V12" s="24">
        <v>0</v>
      </c>
      <c r="W12" s="17">
        <f>+U12*V12</f>
        <v>0</v>
      </c>
      <c r="X12" s="26"/>
      <c r="Y12" s="32">
        <v>30</v>
      </c>
      <c r="Z12" s="24">
        <v>0</v>
      </c>
      <c r="AA12" s="17">
        <f>+Y12*Z12</f>
        <v>0</v>
      </c>
      <c r="AB12" s="26"/>
      <c r="AC12" s="32">
        <v>30</v>
      </c>
      <c r="AD12" s="24">
        <v>0</v>
      </c>
      <c r="AE12" s="17">
        <f>+AC12*AD12</f>
        <v>0</v>
      </c>
      <c r="AF12" s="26"/>
      <c r="AG12" s="32">
        <v>30</v>
      </c>
      <c r="AH12" s="24">
        <v>1</v>
      </c>
      <c r="AI12" s="17">
        <f>+AG12*AH12</f>
        <v>30</v>
      </c>
      <c r="AJ12" s="26"/>
    </row>
    <row r="13" spans="1:36" x14ac:dyDescent="0.25">
      <c r="A13" s="32">
        <v>60</v>
      </c>
      <c r="B13" s="24">
        <v>0</v>
      </c>
      <c r="C13" s="17">
        <f t="shared" ref="C13:C21" si="9">+A13*B13</f>
        <v>0</v>
      </c>
      <c r="D13" s="26"/>
      <c r="E13" s="32">
        <v>60</v>
      </c>
      <c r="F13" s="24">
        <v>3</v>
      </c>
      <c r="G13" s="17">
        <f t="shared" ref="G13:G21" si="10">+E13*F13</f>
        <v>180</v>
      </c>
      <c r="H13" s="26"/>
      <c r="I13" s="32">
        <v>60</v>
      </c>
      <c r="J13" s="24">
        <v>0</v>
      </c>
      <c r="K13" s="17">
        <f t="shared" ref="K13:K21" si="11">+I13*J13</f>
        <v>0</v>
      </c>
      <c r="L13" s="26"/>
      <c r="M13" s="32">
        <v>60</v>
      </c>
      <c r="N13" s="24">
        <v>3</v>
      </c>
      <c r="O13" s="17">
        <f t="shared" ref="O13:O21" si="12">+M13*N13</f>
        <v>180</v>
      </c>
      <c r="P13" s="26"/>
      <c r="Q13" s="32">
        <v>60</v>
      </c>
      <c r="R13" s="24">
        <v>0</v>
      </c>
      <c r="S13" s="17">
        <f t="shared" ref="S13:S21" si="13">+Q13*R13</f>
        <v>0</v>
      </c>
      <c r="T13" s="26"/>
      <c r="U13" s="32">
        <v>60</v>
      </c>
      <c r="V13" s="24">
        <v>0</v>
      </c>
      <c r="W13" s="17">
        <f t="shared" ref="W13:W21" si="14">+U13*V13</f>
        <v>0</v>
      </c>
      <c r="X13" s="26"/>
      <c r="Y13" s="32">
        <v>60</v>
      </c>
      <c r="Z13" s="24">
        <v>0</v>
      </c>
      <c r="AA13" s="17">
        <f t="shared" ref="AA13:AA21" si="15">+Y13*Z13</f>
        <v>0</v>
      </c>
      <c r="AB13" s="26"/>
      <c r="AC13" s="32">
        <v>60</v>
      </c>
      <c r="AD13" s="24">
        <v>4</v>
      </c>
      <c r="AE13" s="17">
        <f t="shared" ref="AE13:AE21" si="16">+AC13*AD13</f>
        <v>240</v>
      </c>
      <c r="AF13" s="26"/>
      <c r="AG13" s="32">
        <v>60</v>
      </c>
      <c r="AH13" s="24">
        <v>1</v>
      </c>
      <c r="AI13" s="17">
        <f t="shared" ref="AI13:AI21" si="17">+AG13*AH13</f>
        <v>60</v>
      </c>
      <c r="AJ13" s="26"/>
    </row>
    <row r="14" spans="1:36" x14ac:dyDescent="0.25">
      <c r="A14" s="32">
        <v>90</v>
      </c>
      <c r="B14" s="24">
        <v>0</v>
      </c>
      <c r="C14" s="17">
        <f t="shared" si="9"/>
        <v>0</v>
      </c>
      <c r="D14" s="26"/>
      <c r="E14" s="32">
        <v>90</v>
      </c>
      <c r="F14" s="24">
        <v>0</v>
      </c>
      <c r="G14" s="17">
        <f t="shared" si="10"/>
        <v>0</v>
      </c>
      <c r="H14" s="26"/>
      <c r="I14" s="32">
        <v>90</v>
      </c>
      <c r="J14" s="24">
        <v>0</v>
      </c>
      <c r="K14" s="17">
        <f t="shared" si="11"/>
        <v>0</v>
      </c>
      <c r="L14" s="26"/>
      <c r="M14" s="32">
        <v>90</v>
      </c>
      <c r="N14" s="24">
        <v>0</v>
      </c>
      <c r="O14" s="17">
        <f t="shared" si="12"/>
        <v>0</v>
      </c>
      <c r="P14" s="26"/>
      <c r="Q14" s="32">
        <v>90</v>
      </c>
      <c r="R14" s="24">
        <v>0</v>
      </c>
      <c r="S14" s="17">
        <f t="shared" si="13"/>
        <v>0</v>
      </c>
      <c r="T14" s="26"/>
      <c r="U14" s="32">
        <v>90</v>
      </c>
      <c r="V14" s="24">
        <v>0</v>
      </c>
      <c r="W14" s="17">
        <f t="shared" si="14"/>
        <v>0</v>
      </c>
      <c r="X14" s="26"/>
      <c r="Y14" s="32">
        <v>90</v>
      </c>
      <c r="Z14" s="24">
        <v>0</v>
      </c>
      <c r="AA14" s="17">
        <f t="shared" si="15"/>
        <v>0</v>
      </c>
      <c r="AB14" s="26"/>
      <c r="AC14" s="32">
        <v>90</v>
      </c>
      <c r="AD14" s="24">
        <v>0</v>
      </c>
      <c r="AE14" s="17">
        <f t="shared" si="16"/>
        <v>0</v>
      </c>
      <c r="AF14" s="26"/>
      <c r="AG14" s="32">
        <v>90</v>
      </c>
      <c r="AH14" s="24">
        <v>0</v>
      </c>
      <c r="AI14" s="17">
        <f t="shared" si="17"/>
        <v>0</v>
      </c>
      <c r="AJ14" s="26"/>
    </row>
    <row r="15" spans="1:36" x14ac:dyDescent="0.25">
      <c r="A15" s="32">
        <v>120</v>
      </c>
      <c r="B15" s="24"/>
      <c r="C15" s="17">
        <f t="shared" si="9"/>
        <v>0</v>
      </c>
      <c r="D15" s="26"/>
      <c r="E15" s="32">
        <v>120</v>
      </c>
      <c r="F15" s="24">
        <v>1</v>
      </c>
      <c r="G15" s="17">
        <f t="shared" si="10"/>
        <v>120</v>
      </c>
      <c r="H15" s="26"/>
      <c r="I15" s="32">
        <v>120</v>
      </c>
      <c r="J15" s="24">
        <v>0</v>
      </c>
      <c r="K15" s="17">
        <f t="shared" si="11"/>
        <v>0</v>
      </c>
      <c r="L15" s="26"/>
      <c r="M15" s="32">
        <v>120</v>
      </c>
      <c r="N15" s="24">
        <v>0</v>
      </c>
      <c r="O15" s="17">
        <f t="shared" si="12"/>
        <v>0</v>
      </c>
      <c r="P15" s="26"/>
      <c r="Q15" s="32">
        <v>120</v>
      </c>
      <c r="R15" s="24">
        <v>0</v>
      </c>
      <c r="S15" s="17">
        <f t="shared" si="13"/>
        <v>0</v>
      </c>
      <c r="T15" s="26"/>
      <c r="U15" s="32">
        <v>120</v>
      </c>
      <c r="V15" s="24">
        <v>0</v>
      </c>
      <c r="W15" s="17">
        <f t="shared" si="14"/>
        <v>0</v>
      </c>
      <c r="X15" s="26"/>
      <c r="Y15" s="32">
        <v>120</v>
      </c>
      <c r="Z15" s="24">
        <v>0</v>
      </c>
      <c r="AA15" s="17">
        <f t="shared" si="15"/>
        <v>0</v>
      </c>
      <c r="AB15" s="26"/>
      <c r="AC15" s="32">
        <v>120</v>
      </c>
      <c r="AD15" s="24">
        <v>1</v>
      </c>
      <c r="AE15" s="17">
        <f t="shared" si="16"/>
        <v>120</v>
      </c>
      <c r="AF15" s="26"/>
      <c r="AG15" s="32">
        <v>120</v>
      </c>
      <c r="AH15" s="24">
        <v>0</v>
      </c>
      <c r="AI15" s="17">
        <f t="shared" si="17"/>
        <v>0</v>
      </c>
      <c r="AJ15" s="26"/>
    </row>
    <row r="16" spans="1:36" x14ac:dyDescent="0.25">
      <c r="A16" s="33">
        <v>140</v>
      </c>
      <c r="B16" s="24">
        <v>1</v>
      </c>
      <c r="C16" s="17">
        <f t="shared" si="9"/>
        <v>140</v>
      </c>
      <c r="D16" s="26"/>
      <c r="E16" s="33"/>
      <c r="F16" s="24">
        <v>0</v>
      </c>
      <c r="G16" s="17">
        <f t="shared" si="10"/>
        <v>0</v>
      </c>
      <c r="H16" s="26"/>
      <c r="I16" s="33">
        <v>140</v>
      </c>
      <c r="J16" s="24">
        <v>1</v>
      </c>
      <c r="K16" s="17">
        <f t="shared" si="11"/>
        <v>140</v>
      </c>
      <c r="L16" s="26"/>
      <c r="M16" s="33">
        <v>261</v>
      </c>
      <c r="N16" s="24">
        <v>1</v>
      </c>
      <c r="O16" s="17">
        <f t="shared" si="12"/>
        <v>261</v>
      </c>
      <c r="P16" s="26"/>
      <c r="Q16" s="33">
        <v>130</v>
      </c>
      <c r="R16" s="24">
        <v>1</v>
      </c>
      <c r="S16" s="17">
        <f t="shared" si="13"/>
        <v>130</v>
      </c>
      <c r="T16" s="26"/>
      <c r="U16" s="33"/>
      <c r="V16" s="24">
        <v>0</v>
      </c>
      <c r="W16" s="17">
        <f t="shared" si="14"/>
        <v>0</v>
      </c>
      <c r="X16" s="26"/>
      <c r="Y16" s="33"/>
      <c r="Z16" s="24">
        <v>0</v>
      </c>
      <c r="AA16" s="17">
        <f t="shared" si="15"/>
        <v>0</v>
      </c>
      <c r="AB16" s="26"/>
      <c r="AC16" s="33">
        <v>240</v>
      </c>
      <c r="AD16" s="24">
        <v>1</v>
      </c>
      <c r="AE16" s="17">
        <f t="shared" si="16"/>
        <v>240</v>
      </c>
      <c r="AF16" s="26"/>
      <c r="AG16" s="33">
        <v>140</v>
      </c>
      <c r="AH16" s="24">
        <v>1</v>
      </c>
      <c r="AI16" s="17">
        <f t="shared" si="17"/>
        <v>140</v>
      </c>
      <c r="AJ16" s="26"/>
    </row>
    <row r="17" spans="1:36" x14ac:dyDescent="0.25">
      <c r="A17" s="33">
        <v>30</v>
      </c>
      <c r="B17" s="24">
        <v>0</v>
      </c>
      <c r="C17" s="17">
        <v>30</v>
      </c>
      <c r="D17" s="26"/>
      <c r="E17" s="33"/>
      <c r="F17" s="24">
        <v>0</v>
      </c>
      <c r="G17" s="17">
        <f t="shared" si="10"/>
        <v>0</v>
      </c>
      <c r="H17" s="26"/>
      <c r="I17" s="33"/>
      <c r="J17" s="24">
        <v>0</v>
      </c>
      <c r="K17" s="17">
        <f t="shared" si="11"/>
        <v>0</v>
      </c>
      <c r="L17" s="26"/>
      <c r="M17" s="33"/>
      <c r="N17" s="24">
        <v>0</v>
      </c>
      <c r="O17" s="17">
        <f t="shared" si="12"/>
        <v>0</v>
      </c>
      <c r="P17" s="26"/>
      <c r="Q17" s="33">
        <v>140</v>
      </c>
      <c r="R17" s="24">
        <v>1</v>
      </c>
      <c r="S17" s="17">
        <f t="shared" si="13"/>
        <v>140</v>
      </c>
      <c r="T17" s="26"/>
      <c r="U17" s="33"/>
      <c r="V17" s="24">
        <v>0</v>
      </c>
      <c r="W17" s="17">
        <f t="shared" si="14"/>
        <v>0</v>
      </c>
      <c r="X17" s="26"/>
      <c r="Y17" s="33"/>
      <c r="Z17" s="24">
        <v>0</v>
      </c>
      <c r="AA17" s="17">
        <f t="shared" si="15"/>
        <v>0</v>
      </c>
      <c r="AB17" s="26"/>
      <c r="AC17" s="33"/>
      <c r="AD17" s="24">
        <v>0</v>
      </c>
      <c r="AE17" s="17">
        <f t="shared" si="16"/>
        <v>0</v>
      </c>
      <c r="AF17" s="26"/>
      <c r="AG17" s="33"/>
      <c r="AH17" s="24">
        <v>0</v>
      </c>
      <c r="AI17" s="17">
        <f t="shared" si="17"/>
        <v>0</v>
      </c>
      <c r="AJ17" s="26"/>
    </row>
    <row r="18" spans="1:36" x14ac:dyDescent="0.25">
      <c r="A18" s="33"/>
      <c r="B18" s="24">
        <v>0</v>
      </c>
      <c r="C18" s="17">
        <v>0</v>
      </c>
      <c r="D18" s="26"/>
      <c r="E18" s="33"/>
      <c r="F18" s="24">
        <v>0</v>
      </c>
      <c r="G18" s="17">
        <f t="shared" si="10"/>
        <v>0</v>
      </c>
      <c r="H18" s="26"/>
      <c r="I18" s="33"/>
      <c r="J18" s="24">
        <v>0</v>
      </c>
      <c r="K18" s="17">
        <f t="shared" si="11"/>
        <v>0</v>
      </c>
      <c r="L18" s="26"/>
      <c r="M18" s="33"/>
      <c r="N18" s="24">
        <v>0</v>
      </c>
      <c r="O18" s="17">
        <f t="shared" si="12"/>
        <v>0</v>
      </c>
      <c r="P18" s="26"/>
      <c r="Q18" s="33"/>
      <c r="R18" s="24">
        <v>0</v>
      </c>
      <c r="S18" s="17">
        <f t="shared" si="13"/>
        <v>0</v>
      </c>
      <c r="T18" s="26"/>
      <c r="U18" s="33"/>
      <c r="V18" s="24">
        <v>0</v>
      </c>
      <c r="W18" s="17">
        <f t="shared" si="14"/>
        <v>0</v>
      </c>
      <c r="X18" s="26"/>
      <c r="Y18" s="33"/>
      <c r="Z18" s="24">
        <v>0</v>
      </c>
      <c r="AA18" s="17">
        <f t="shared" si="15"/>
        <v>0</v>
      </c>
      <c r="AB18" s="26"/>
      <c r="AC18" s="33"/>
      <c r="AD18" s="24">
        <v>0</v>
      </c>
      <c r="AE18" s="17">
        <f t="shared" si="16"/>
        <v>0</v>
      </c>
      <c r="AF18" s="26"/>
      <c r="AG18" s="33"/>
      <c r="AH18" s="24">
        <v>0</v>
      </c>
      <c r="AI18" s="17">
        <f t="shared" si="17"/>
        <v>0</v>
      </c>
      <c r="AJ18" s="26"/>
    </row>
    <row r="19" spans="1:36" x14ac:dyDescent="0.25">
      <c r="A19" s="33"/>
      <c r="B19" s="24">
        <v>0</v>
      </c>
      <c r="C19" s="17">
        <f t="shared" si="9"/>
        <v>0</v>
      </c>
      <c r="D19" s="26"/>
      <c r="E19" s="33"/>
      <c r="F19" s="24">
        <v>0</v>
      </c>
      <c r="G19" s="17">
        <f t="shared" si="10"/>
        <v>0</v>
      </c>
      <c r="H19" s="26"/>
      <c r="I19" s="33"/>
      <c r="J19" s="24">
        <v>0</v>
      </c>
      <c r="K19" s="17">
        <f t="shared" si="11"/>
        <v>0</v>
      </c>
      <c r="L19" s="26"/>
      <c r="M19" s="33"/>
      <c r="N19" s="24">
        <v>0</v>
      </c>
      <c r="O19" s="17">
        <f t="shared" si="12"/>
        <v>0</v>
      </c>
      <c r="P19" s="26"/>
      <c r="Q19" s="33"/>
      <c r="R19" s="24">
        <v>0</v>
      </c>
      <c r="S19" s="17">
        <f t="shared" si="13"/>
        <v>0</v>
      </c>
      <c r="T19" s="26"/>
      <c r="U19" s="33"/>
      <c r="V19" s="24">
        <v>0</v>
      </c>
      <c r="W19" s="17">
        <f t="shared" si="14"/>
        <v>0</v>
      </c>
      <c r="X19" s="26"/>
      <c r="Y19" s="33"/>
      <c r="Z19" s="24">
        <v>0</v>
      </c>
      <c r="AA19" s="17">
        <f t="shared" si="15"/>
        <v>0</v>
      </c>
      <c r="AB19" s="26"/>
      <c r="AC19" s="33"/>
      <c r="AD19" s="24"/>
      <c r="AE19" s="17">
        <f t="shared" si="16"/>
        <v>0</v>
      </c>
      <c r="AF19" s="26"/>
      <c r="AG19" s="33"/>
      <c r="AH19" s="24">
        <v>0</v>
      </c>
      <c r="AI19" s="17">
        <f t="shared" si="17"/>
        <v>0</v>
      </c>
      <c r="AJ19" s="26"/>
    </row>
    <row r="20" spans="1:36" x14ac:dyDescent="0.25">
      <c r="A20" s="33"/>
      <c r="B20" s="24">
        <v>0</v>
      </c>
      <c r="C20" s="17">
        <f t="shared" si="9"/>
        <v>0</v>
      </c>
      <c r="D20" s="26"/>
      <c r="E20" s="33"/>
      <c r="F20" s="24">
        <v>0</v>
      </c>
      <c r="G20" s="17">
        <f t="shared" si="10"/>
        <v>0</v>
      </c>
      <c r="H20" s="26"/>
      <c r="I20" s="33"/>
      <c r="J20" s="24">
        <v>0</v>
      </c>
      <c r="K20" s="17">
        <f t="shared" si="11"/>
        <v>0</v>
      </c>
      <c r="L20" s="26"/>
      <c r="M20" s="33"/>
      <c r="N20" s="24">
        <v>0</v>
      </c>
      <c r="O20" s="17">
        <f t="shared" si="12"/>
        <v>0</v>
      </c>
      <c r="P20" s="26"/>
      <c r="Q20" s="33"/>
      <c r="R20" s="24">
        <v>0</v>
      </c>
      <c r="S20" s="17">
        <f t="shared" si="13"/>
        <v>0</v>
      </c>
      <c r="T20" s="26"/>
      <c r="U20" s="33"/>
      <c r="V20" s="24">
        <v>0</v>
      </c>
      <c r="W20" s="17">
        <f t="shared" si="14"/>
        <v>0</v>
      </c>
      <c r="X20" s="26"/>
      <c r="Y20" s="33"/>
      <c r="Z20" s="24">
        <v>0</v>
      </c>
      <c r="AA20" s="17">
        <f t="shared" si="15"/>
        <v>0</v>
      </c>
      <c r="AB20" s="26"/>
      <c r="AC20" s="33">
        <v>142</v>
      </c>
      <c r="AD20" s="24">
        <v>1</v>
      </c>
      <c r="AE20" s="17">
        <f t="shared" si="16"/>
        <v>142</v>
      </c>
      <c r="AF20" s="26"/>
      <c r="AG20" s="33"/>
      <c r="AH20" s="24">
        <v>0</v>
      </c>
      <c r="AI20" s="17">
        <f t="shared" si="17"/>
        <v>0</v>
      </c>
      <c r="AJ20" s="26"/>
    </row>
    <row r="21" spans="1:36" x14ac:dyDescent="0.25">
      <c r="A21" s="33"/>
      <c r="B21" s="24">
        <v>0</v>
      </c>
      <c r="C21" s="17">
        <f t="shared" si="9"/>
        <v>0</v>
      </c>
      <c r="D21" s="26"/>
      <c r="E21" s="33">
        <v>250</v>
      </c>
      <c r="F21" s="24">
        <v>1</v>
      </c>
      <c r="G21" s="17">
        <f t="shared" si="10"/>
        <v>250</v>
      </c>
      <c r="H21" s="26"/>
      <c r="I21" s="33">
        <v>194</v>
      </c>
      <c r="J21" s="24">
        <v>1</v>
      </c>
      <c r="K21" s="17">
        <f t="shared" si="11"/>
        <v>194</v>
      </c>
      <c r="L21" s="26"/>
      <c r="M21" s="33"/>
      <c r="N21" s="24">
        <v>0</v>
      </c>
      <c r="O21" s="17">
        <f t="shared" si="12"/>
        <v>0</v>
      </c>
      <c r="P21" s="26"/>
      <c r="Q21" s="33">
        <v>580</v>
      </c>
      <c r="R21" s="24">
        <v>1</v>
      </c>
      <c r="S21" s="17">
        <f t="shared" si="13"/>
        <v>580</v>
      </c>
      <c r="T21" s="26"/>
      <c r="U21" s="33"/>
      <c r="V21" s="24">
        <v>0</v>
      </c>
      <c r="W21" s="17">
        <f t="shared" si="14"/>
        <v>0</v>
      </c>
      <c r="X21" s="26"/>
      <c r="Y21" s="33"/>
      <c r="Z21" s="24">
        <v>0</v>
      </c>
      <c r="AA21" s="17">
        <f t="shared" si="15"/>
        <v>0</v>
      </c>
      <c r="AB21" s="26"/>
      <c r="AC21" s="33">
        <v>120</v>
      </c>
      <c r="AD21" s="24">
        <v>1</v>
      </c>
      <c r="AE21" s="17">
        <f t="shared" si="16"/>
        <v>120</v>
      </c>
      <c r="AF21" s="26"/>
      <c r="AG21" s="33">
        <v>180</v>
      </c>
      <c r="AH21" s="24">
        <v>1</v>
      </c>
      <c r="AI21" s="17">
        <f t="shared" si="17"/>
        <v>180</v>
      </c>
      <c r="AJ21" s="26"/>
    </row>
    <row r="22" spans="1:36" x14ac:dyDescent="0.25">
      <c r="A22" s="16"/>
      <c r="B22" s="27" t="s">
        <v>10</v>
      </c>
      <c r="C22" s="17">
        <f>SUM(C12:C21)</f>
        <v>170</v>
      </c>
      <c r="D22" s="26"/>
      <c r="E22" s="16"/>
      <c r="F22" s="27" t="s">
        <v>10</v>
      </c>
      <c r="G22" s="17">
        <f>SUM(G12:G21)</f>
        <v>550</v>
      </c>
      <c r="H22" s="26"/>
      <c r="I22" s="16"/>
      <c r="J22" s="27" t="s">
        <v>10</v>
      </c>
      <c r="K22" s="17">
        <f>SUM(K12:K21)</f>
        <v>334</v>
      </c>
      <c r="L22" s="26"/>
      <c r="M22" s="16"/>
      <c r="N22" s="27" t="s">
        <v>10</v>
      </c>
      <c r="O22" s="17">
        <f>SUM(O12:O21)</f>
        <v>441</v>
      </c>
      <c r="P22" s="26"/>
      <c r="Q22" s="16"/>
      <c r="R22" s="27" t="s">
        <v>10</v>
      </c>
      <c r="S22" s="17">
        <f>SUM(S12:S21)</f>
        <v>850</v>
      </c>
      <c r="T22" s="26"/>
      <c r="U22" s="16"/>
      <c r="V22" s="27" t="s">
        <v>10</v>
      </c>
      <c r="W22" s="17">
        <f>SUM(W12:W21)</f>
        <v>0</v>
      </c>
      <c r="X22" s="26"/>
      <c r="Y22" s="16"/>
      <c r="Z22" s="27" t="s">
        <v>10</v>
      </c>
      <c r="AA22" s="17">
        <f>SUM(AA12:AA21)</f>
        <v>0</v>
      </c>
      <c r="AB22" s="26"/>
      <c r="AC22" s="16"/>
      <c r="AD22" s="27" t="s">
        <v>10</v>
      </c>
      <c r="AE22" s="17">
        <f>SUM(AE12:AE21)</f>
        <v>862</v>
      </c>
      <c r="AF22" s="26"/>
      <c r="AG22" s="16"/>
      <c r="AH22" s="27" t="s">
        <v>10</v>
      </c>
      <c r="AI22" s="17">
        <f>SUM(AI12:AI21)</f>
        <v>410</v>
      </c>
      <c r="AJ22" s="26"/>
    </row>
    <row r="23" spans="1:36" x14ac:dyDescent="0.25">
      <c r="A23" s="66" t="s">
        <v>12</v>
      </c>
      <c r="B23" s="66"/>
      <c r="C23" s="34">
        <v>27</v>
      </c>
      <c r="D23" s="26"/>
      <c r="E23" s="66" t="s">
        <v>12</v>
      </c>
      <c r="F23" s="66"/>
      <c r="G23" s="34">
        <v>0</v>
      </c>
      <c r="H23" s="26"/>
      <c r="I23" s="66" t="s">
        <v>12</v>
      </c>
      <c r="J23" s="66"/>
      <c r="K23" s="34">
        <v>25</v>
      </c>
      <c r="L23" s="26"/>
      <c r="M23" s="66" t="s">
        <v>12</v>
      </c>
      <c r="N23" s="66"/>
      <c r="O23" s="34">
        <v>43</v>
      </c>
      <c r="P23" s="26"/>
      <c r="Q23" s="66" t="s">
        <v>12</v>
      </c>
      <c r="R23" s="66"/>
      <c r="S23" s="34">
        <v>44</v>
      </c>
      <c r="T23" s="26"/>
      <c r="U23" s="66" t="s">
        <v>12</v>
      </c>
      <c r="V23" s="66"/>
      <c r="W23" s="34">
        <v>44</v>
      </c>
      <c r="X23" s="26"/>
      <c r="Y23" s="66" t="s">
        <v>12</v>
      </c>
      <c r="Z23" s="66"/>
      <c r="AA23" s="34">
        <v>31</v>
      </c>
      <c r="AB23" s="26"/>
      <c r="AC23" s="66" t="s">
        <v>12</v>
      </c>
      <c r="AD23" s="66"/>
      <c r="AE23" s="34">
        <v>47</v>
      </c>
      <c r="AF23" s="26"/>
      <c r="AG23" s="66" t="s">
        <v>12</v>
      </c>
      <c r="AH23" s="66"/>
      <c r="AI23" s="34">
        <v>61</v>
      </c>
      <c r="AJ23" s="26"/>
    </row>
    <row r="24" spans="1:36" x14ac:dyDescent="0.25">
      <c r="A24" s="65" t="s">
        <v>13</v>
      </c>
      <c r="B24" s="65"/>
      <c r="C24" s="19">
        <f>+C32*13.25</f>
        <v>1033.5</v>
      </c>
      <c r="D24" s="26"/>
      <c r="E24" s="65" t="s">
        <v>13</v>
      </c>
      <c r="F24" s="65"/>
      <c r="G24" s="19">
        <f>+G32*13.25</f>
        <v>1033.5</v>
      </c>
      <c r="H24" s="26"/>
      <c r="I24" s="65" t="s">
        <v>13</v>
      </c>
      <c r="J24" s="65"/>
      <c r="K24" s="19">
        <f>+K32*13.25</f>
        <v>1033.5</v>
      </c>
      <c r="L24" s="26"/>
      <c r="M24" s="65" t="s">
        <v>13</v>
      </c>
      <c r="N24" s="65"/>
      <c r="O24" s="19">
        <f>+O32*13.25</f>
        <v>1020.25</v>
      </c>
      <c r="P24" s="26"/>
      <c r="Q24" s="65" t="s">
        <v>13</v>
      </c>
      <c r="R24" s="65"/>
      <c r="S24" s="19">
        <f>+S32*13.25</f>
        <v>1020.25</v>
      </c>
      <c r="T24" s="26"/>
      <c r="U24" s="65" t="s">
        <v>13</v>
      </c>
      <c r="V24" s="65"/>
      <c r="W24" s="19">
        <f>+W32*13.25</f>
        <v>1020.25</v>
      </c>
      <c r="X24" s="26"/>
      <c r="Y24" s="65" t="s">
        <v>13</v>
      </c>
      <c r="Z24" s="65"/>
      <c r="AA24" s="19">
        <f>+AA32*13.25</f>
        <v>1020.25</v>
      </c>
      <c r="AB24" s="26"/>
      <c r="AC24" s="65" t="s">
        <v>13</v>
      </c>
      <c r="AD24" s="65"/>
      <c r="AE24" s="19">
        <f>+AE32*13.25</f>
        <v>1020.25</v>
      </c>
      <c r="AF24" s="26"/>
      <c r="AG24" s="65" t="s">
        <v>13</v>
      </c>
      <c r="AH24" s="65"/>
      <c r="AI24" s="19">
        <f>+AI32*13.25</f>
        <v>1020.25</v>
      </c>
      <c r="AJ24" s="26"/>
    </row>
    <row r="25" spans="1:36" x14ac:dyDescent="0.25">
      <c r="A25" s="65" t="s">
        <v>14</v>
      </c>
      <c r="B25" s="65"/>
      <c r="C25" s="19">
        <f>'1'!G27+'2'!G27+'3'!G27+'4'!G27+'5'!G27+'6'!G27+'7'!G27+'8'!G27+'9'!G27+'10'!G27+'11'!G27+'12'!G27+'13'!G27+'14'!G27+'15'!G27+'16'!G27+'17'!G27+'18'!G27+'19'!G27+'20'!G27</f>
        <v>0</v>
      </c>
      <c r="D25" s="26"/>
      <c r="E25" s="65" t="s">
        <v>14</v>
      </c>
      <c r="F25" s="65"/>
      <c r="G25" s="19">
        <f>'1'!G27+'2'!G27+'3'!G27+'4'!G27+'5'!G27+'6'!G27+'7'!G27+'8'!G27+'9'!G27+'10'!G27+'11'!G27+'12'!G27+'13'!G27+'14'!G27+'15'!G27+'16'!G27+'17'!G27+'18'!G27+'19'!G27+'20'!G27</f>
        <v>0</v>
      </c>
      <c r="H25" s="26"/>
      <c r="I25" s="65" t="s">
        <v>14</v>
      </c>
      <c r="J25" s="65"/>
      <c r="K25" s="19">
        <f>'1'!G27+'2'!G27+'3'!G27+'4'!G27+'5'!G27+'6'!G27+'7'!G27+'8'!G27+'9'!G27+'10'!G27+'11'!G27+'12'!G27+'13'!G27+'14'!G27+'15'!G27+'16'!G27+'17'!G27+'18'!G27+'19'!G27+'20'!G27</f>
        <v>0</v>
      </c>
      <c r="L25" s="26"/>
      <c r="M25" s="65" t="s">
        <v>14</v>
      </c>
      <c r="N25" s="65"/>
      <c r="O25" s="19">
        <f>'1'!G27+'2'!G27+'3'!G27+'4'!G27+'5'!G27+'6'!G27+'7'!G27+'8'!G27+'9'!G27+'10'!G27+'11'!G27+'12'!G27+'13'!G27+'14'!G27+'15'!G27+'16'!G27+'17'!G27+'18'!G27+'19'!G27+'20'!G27</f>
        <v>0</v>
      </c>
      <c r="P25" s="26"/>
      <c r="Q25" s="65" t="s">
        <v>14</v>
      </c>
      <c r="R25" s="65"/>
      <c r="S25" s="19">
        <f>'1'!G27+'2'!G27+'3'!G27+'4'!G27+'5'!G27+'6'!G27+'7'!G27+'8'!G27+'9'!G27+'10'!G27+'11'!G27+'12'!G27+'13'!G27+'14'!G27+'15'!G27+'16'!G27+'17'!G27+'18'!G27+'19'!G27+'20'!G27</f>
        <v>0</v>
      </c>
      <c r="T25" s="26"/>
      <c r="U25" s="65" t="s">
        <v>14</v>
      </c>
      <c r="V25" s="65"/>
      <c r="W25" s="19">
        <f>'1'!G27+'2'!G27+'3'!G27+'4'!G27+'5'!G27+'6'!G27+'7'!G27+'8'!G27+'9'!G27+'10'!G27+'11'!G27+'12'!G27+'13'!G27+'14'!G27+'15'!G27+'16'!G27+'17'!G27+'18'!G27+'19'!G27+'20'!G27</f>
        <v>0</v>
      </c>
      <c r="X25" s="26"/>
      <c r="Y25" s="65" t="s">
        <v>14</v>
      </c>
      <c r="Z25" s="65"/>
      <c r="AA25" s="19">
        <f>'1'!G27+'2'!G27+'3'!G27+'4'!G27+'5'!G27+'6'!G27+'7'!G27+'8'!G27+'9'!G27+'10'!G27+'11'!G27+'12'!G27+'13'!G27+'14'!G27+'15'!G27+'16'!G27+'17'!G27+'18'!G27+'19'!G27+'20'!G27</f>
        <v>0</v>
      </c>
      <c r="AB25" s="26"/>
      <c r="AC25" s="65" t="s">
        <v>14</v>
      </c>
      <c r="AD25" s="65"/>
      <c r="AE25" s="19">
        <f>'1'!G27+'2'!G27+'3'!G27+'4'!G27+'5'!G27+'6'!G27+'7'!G27+'8'!G27+'9'!G27+'10'!G27+'11'!G27+'12'!G27+'13'!G27+'14'!G27+'15'!G27+'16'!G27+'17'!G27+'18'!G27+'19'!G27+'20'!G27</f>
        <v>0</v>
      </c>
      <c r="AF25" s="26"/>
      <c r="AG25" s="65" t="s">
        <v>14</v>
      </c>
      <c r="AH25" s="65"/>
      <c r="AI25" s="19">
        <f>'1'!G27+'2'!G27+'3'!G27+'4'!G27+'5'!G27+'6'!G27+'7'!G27+'8'!G27+'9'!G27+'10'!G27+'11'!G27+'12'!G27+'13'!G27+'14'!G27+'15'!G27+'16'!G27+'17'!G27+'18'!G27+'19'!G27+'20'!G27</f>
        <v>0</v>
      </c>
      <c r="AJ25" s="26"/>
    </row>
    <row r="26" spans="1:36" x14ac:dyDescent="0.25">
      <c r="A26" s="65" t="s">
        <v>15</v>
      </c>
      <c r="B26" s="65"/>
      <c r="C26" s="20">
        <f>+C10+C22+C23+C25</f>
        <v>1947</v>
      </c>
      <c r="D26" s="26"/>
      <c r="E26" s="65" t="s">
        <v>15</v>
      </c>
      <c r="F26" s="65"/>
      <c r="G26" s="20">
        <f>+G10+G22+G23+G25</f>
        <v>1820</v>
      </c>
      <c r="H26" s="26"/>
      <c r="I26" s="65" t="s">
        <v>15</v>
      </c>
      <c r="J26" s="65"/>
      <c r="K26" s="20">
        <f>+K10+K22+K23+K25</f>
        <v>1064</v>
      </c>
      <c r="L26" s="26"/>
      <c r="M26" s="65" t="s">
        <v>15</v>
      </c>
      <c r="N26" s="65"/>
      <c r="O26" s="20">
        <f>+O10+O22+O23+O25</f>
        <v>1269</v>
      </c>
      <c r="P26" s="26"/>
      <c r="Q26" s="65" t="s">
        <v>15</v>
      </c>
      <c r="R26" s="65"/>
      <c r="S26" s="20">
        <f>+S10+S22+S23+S25</f>
        <v>2584</v>
      </c>
      <c r="T26" s="26"/>
      <c r="U26" s="65" t="s">
        <v>15</v>
      </c>
      <c r="V26" s="65"/>
      <c r="W26" s="20">
        <f>+W10+W22+W23+W25</f>
        <v>44</v>
      </c>
      <c r="X26" s="26"/>
      <c r="Y26" s="65" t="s">
        <v>15</v>
      </c>
      <c r="Z26" s="65"/>
      <c r="AA26" s="20">
        <v>3</v>
      </c>
      <c r="AB26" s="26"/>
      <c r="AC26" s="65" t="s">
        <v>15</v>
      </c>
      <c r="AD26" s="65"/>
      <c r="AE26" s="20">
        <f>+AE10+AE22+AE23+AE25</f>
        <v>2129</v>
      </c>
      <c r="AF26" s="26"/>
      <c r="AG26" s="65" t="s">
        <v>15</v>
      </c>
      <c r="AH26" s="65"/>
      <c r="AI26" s="20">
        <f>+AI10+AI22+AI23+AI25</f>
        <v>1636</v>
      </c>
      <c r="AJ26" s="26"/>
    </row>
    <row r="27" spans="1:36" ht="6.75" customHeight="1" x14ac:dyDescent="0.25">
      <c r="A27" s="28"/>
      <c r="B27" s="29"/>
      <c r="C27" s="30"/>
      <c r="D27" s="26"/>
      <c r="E27" s="28"/>
      <c r="F27" s="29"/>
      <c r="G27" s="30"/>
      <c r="H27" s="26"/>
      <c r="I27" s="28"/>
      <c r="J27" s="29"/>
      <c r="K27" s="30"/>
      <c r="L27" s="26"/>
      <c r="M27" s="28"/>
      <c r="N27" s="29"/>
      <c r="O27" s="30" t="s">
        <v>177</v>
      </c>
      <c r="P27" s="26"/>
      <c r="Q27" s="28"/>
      <c r="R27" s="29"/>
      <c r="S27" s="30"/>
      <c r="T27" s="26"/>
      <c r="U27" s="28"/>
      <c r="V27" s="29"/>
      <c r="W27" s="30"/>
      <c r="X27" s="26"/>
      <c r="Y27" s="28"/>
      <c r="Z27" s="29"/>
      <c r="AA27" s="30"/>
      <c r="AB27" s="26"/>
      <c r="AC27" s="28"/>
      <c r="AD27" s="29"/>
      <c r="AE27" s="30"/>
      <c r="AF27" s="26"/>
      <c r="AG27" s="28"/>
      <c r="AH27" s="29"/>
      <c r="AI27" s="30"/>
      <c r="AJ27" s="26"/>
    </row>
    <row r="28" spans="1:36" x14ac:dyDescent="0.25">
      <c r="A28" s="67" t="str">
        <f>A1</f>
        <v>Week 10</v>
      </c>
      <c r="B28" s="67"/>
      <c r="C28" s="21">
        <f>+'1'!K9+'2'!K9+'3'!K9+'4'!K9+'5'!K9+'6'!K9+'7'!K9+'8'!K9+'9'!K9+'10'!K9+'11'!K9+'12'!K9+'13'!K9+'14'!K9+'15'!K9+'16'!K9+'17'!K9+'18'!K9+'19'!K9+'20'!K9</f>
        <v>2070</v>
      </c>
      <c r="D28" s="26"/>
      <c r="E28" s="67" t="str">
        <f>E1</f>
        <v>Week 11</v>
      </c>
      <c r="F28" s="67"/>
      <c r="G28" s="21">
        <f>+'1'!L9+'2'!L9+'3'!L9+'4'!L9+'5'!L9+'6'!L9+'7'!L9+'8'!L9+'9'!L9+'10'!L9+'11'!L9+'12'!L9+'13'!L9+'14'!L9+'15'!L9+'16'!L9+'17'!L9+'18'!L9+'19'!L9+'20'!L9</f>
        <v>1790</v>
      </c>
      <c r="H28" s="26"/>
      <c r="I28" s="67" t="str">
        <f>I1</f>
        <v>Week 12</v>
      </c>
      <c r="J28" s="67"/>
      <c r="K28" s="21">
        <f>+'1'!M9+'2'!M9+'3'!M9+'4'!M9+'5'!M9+'6'!M9+'7'!M9+'8'!M9+'9'!M9+'10'!M9+'11'!M9+'12'!M9+'13'!M9+'14'!M9+'15'!M9+'16'!M9+'17'!M9+'18'!M9+'19'!M9+'20'!M9</f>
        <v>999</v>
      </c>
      <c r="L28" s="26"/>
      <c r="M28" s="67" t="str">
        <f>M1</f>
        <v>Week 13</v>
      </c>
      <c r="N28" s="67"/>
      <c r="O28" s="21">
        <f>+'1'!N9+'2'!N9+'3'!N9+'4'!N9+'5'!N9+'6'!N9+'7'!N9+'8'!N9+'9'!N9+'10'!N9+'11'!N9+'12'!N9+'13'!N9+'14'!N9+'15'!N9+'16'!N9+'17'!N9+'18'!N9+'19'!N9+'20'!N9</f>
        <v>1736</v>
      </c>
      <c r="P28" s="26"/>
      <c r="Q28" s="67" t="str">
        <f>Q1</f>
        <v>Week 14</v>
      </c>
      <c r="R28" s="67"/>
      <c r="S28" s="21">
        <f>+'1'!O9+'2'!O9+'3'!O9+'4'!O9+'5'!O9+'6'!O9+'7'!O9+'8'!O9+'9'!O9+'10'!O9+'11'!O9+'12'!O9+'13'!O9+'14'!O9+'15'!O9+'16'!O9+'17'!O9+'18'!O9+'19'!O9+'20'!O9</f>
        <v>2440</v>
      </c>
      <c r="T28" s="26"/>
      <c r="U28" s="67" t="str">
        <f>U1</f>
        <v>Week 15</v>
      </c>
      <c r="V28" s="67"/>
      <c r="W28" s="21">
        <f>+'1'!P9+'2'!P9+'3'!P9+'4'!P9+'5'!P9+'6'!P9+'7'!P9+'8'!P9+'9'!P9+'10'!P9+'11'!P9+'12'!P9+'13'!P9+'14'!P9+'15'!P9+'16'!P9+'17'!P9+'18'!P9+'19'!P9+'20'!P9</f>
        <v>1880</v>
      </c>
      <c r="X28" s="26"/>
      <c r="Y28" s="67" t="str">
        <f>Y1</f>
        <v>Week 16</v>
      </c>
      <c r="Z28" s="67"/>
      <c r="AA28" s="21">
        <f>+'1'!Q9+'2'!Q9+'3'!Q9+'4'!Q9+'5'!Q9+'6'!Q9+'7'!Q9+'8'!Q9+'9'!Q9+'10'!Q9+'11'!Q9+'12'!Q9+'13'!Q9+'14'!Q9+'15'!Q9+'16'!Q9+'17'!Q9+'18'!Q9+'19'!Q9+'20'!Q9</f>
        <v>2005</v>
      </c>
      <c r="AB28" s="26"/>
      <c r="AC28" s="67" t="str">
        <f>AC1</f>
        <v>Week 17</v>
      </c>
      <c r="AD28" s="67"/>
      <c r="AE28" s="21">
        <f>+'1'!R9+'2'!R9+'3'!R9+'4'!R9+'5'!R9+'6'!R9+'7'!R9+'8'!R9+'9'!R9+'10'!R9+'11'!R9+'12'!R9+'13'!R9+'14'!R9+'15'!R9+'16'!R9+'17'!R9+'18'!R9+'19'!R9+'20'!R9</f>
        <v>1940</v>
      </c>
      <c r="AF28" s="26"/>
      <c r="AG28" s="67" t="str">
        <f>AG1</f>
        <v>Week 18</v>
      </c>
      <c r="AH28" s="67"/>
      <c r="AI28" s="21">
        <f>+'1'!S9+'2'!S9+'3'!S9+'4'!S9+'5'!S9+'6'!S9+'7'!S9+'8'!S9+'9'!S9+'10'!S9+'11'!S9+'12'!S9+'13'!S9+'14'!S9+'15'!S9+'16'!S9+'17'!S9+'18'!S9+'19'!S9+'20'!S9</f>
        <v>1575</v>
      </c>
      <c r="AJ28" s="26"/>
    </row>
    <row r="29" spans="1:36" x14ac:dyDescent="0.25">
      <c r="A29" s="68" t="s">
        <v>16</v>
      </c>
      <c r="B29" s="68"/>
      <c r="C29" s="21">
        <f>+C26-C28</f>
        <v>-123</v>
      </c>
      <c r="D29" s="26"/>
      <c r="E29" s="68" t="s">
        <v>16</v>
      </c>
      <c r="F29" s="68"/>
      <c r="G29" s="21">
        <f>+G26-G28</f>
        <v>30</v>
      </c>
      <c r="H29" s="26"/>
      <c r="I29" s="68" t="s">
        <v>16</v>
      </c>
      <c r="J29" s="68"/>
      <c r="K29" s="21">
        <f>+K26-K28</f>
        <v>65</v>
      </c>
      <c r="L29" s="26"/>
      <c r="M29" s="68" t="s">
        <v>16</v>
      </c>
      <c r="N29" s="68"/>
      <c r="O29" s="21">
        <f>+O26-O28</f>
        <v>-467</v>
      </c>
      <c r="P29" s="26"/>
      <c r="Q29" s="68" t="s">
        <v>16</v>
      </c>
      <c r="R29" s="68"/>
      <c r="S29" s="21">
        <f>+S26-S28</f>
        <v>144</v>
      </c>
      <c r="T29" s="26"/>
      <c r="U29" s="68" t="s">
        <v>16</v>
      </c>
      <c r="V29" s="68"/>
      <c r="W29" s="21">
        <f>+W26-W28</f>
        <v>-1836</v>
      </c>
      <c r="X29" s="26"/>
      <c r="Y29" s="68" t="s">
        <v>16</v>
      </c>
      <c r="Z29" s="68"/>
      <c r="AA29" s="21">
        <f>+AA26-AA28</f>
        <v>-2002</v>
      </c>
      <c r="AB29" s="26"/>
      <c r="AC29" s="68" t="s">
        <v>16</v>
      </c>
      <c r="AD29" s="68"/>
      <c r="AE29" s="21">
        <f>+AE26-AE28</f>
        <v>189</v>
      </c>
      <c r="AF29" s="26"/>
      <c r="AG29" s="68" t="s">
        <v>16</v>
      </c>
      <c r="AH29" s="68"/>
      <c r="AI29" s="21">
        <f>+AI26-AI28</f>
        <v>61</v>
      </c>
      <c r="AJ29" s="26"/>
    </row>
    <row r="30" spans="1:36" ht="6.75" customHeight="1" x14ac:dyDescent="0.25">
      <c r="A30" s="28"/>
      <c r="B30" s="29"/>
      <c r="C30" s="30"/>
      <c r="D30" s="30"/>
      <c r="E30" s="28"/>
      <c r="F30" s="29"/>
      <c r="G30" s="30"/>
      <c r="H30" s="30"/>
      <c r="I30" s="28"/>
      <c r="J30" s="29"/>
      <c r="K30" s="30"/>
      <c r="L30" s="30"/>
      <c r="M30" s="28"/>
      <c r="N30" s="29"/>
      <c r="O30" s="30"/>
      <c r="P30" s="30"/>
      <c r="Q30" s="28"/>
      <c r="R30" s="29"/>
      <c r="S30" s="30"/>
      <c r="T30" s="30"/>
      <c r="U30" s="28"/>
      <c r="V30" s="29"/>
      <c r="W30" s="30"/>
      <c r="X30" s="30"/>
      <c r="Y30" s="28"/>
      <c r="Z30" s="29"/>
      <c r="AA30" s="30"/>
      <c r="AB30" s="30"/>
      <c r="AC30" s="28"/>
      <c r="AD30" s="29"/>
      <c r="AE30" s="30"/>
      <c r="AF30" s="30"/>
      <c r="AG30" s="28"/>
      <c r="AH30" s="29"/>
      <c r="AI30" s="30"/>
      <c r="AJ30" s="30"/>
    </row>
    <row r="31" spans="1:36" ht="15.75" thickBot="1" x14ac:dyDescent="0.3"/>
    <row r="32" spans="1:36" ht="15.75" thickBot="1" x14ac:dyDescent="0.3">
      <c r="A32" s="63" t="s">
        <v>17</v>
      </c>
      <c r="B32" s="64"/>
      <c r="C32" s="39">
        <v>78</v>
      </c>
      <c r="E32" s="63" t="s">
        <v>17</v>
      </c>
      <c r="F32" s="64"/>
      <c r="G32" s="39">
        <v>78</v>
      </c>
      <c r="I32" s="63" t="s">
        <v>17</v>
      </c>
      <c r="J32" s="64"/>
      <c r="K32" s="39">
        <v>78</v>
      </c>
      <c r="M32" s="63" t="s">
        <v>17</v>
      </c>
      <c r="N32" s="64"/>
      <c r="O32" s="39">
        <v>77</v>
      </c>
      <c r="Q32" s="63" t="s">
        <v>17</v>
      </c>
      <c r="R32" s="64"/>
      <c r="S32" s="39">
        <v>77</v>
      </c>
      <c r="U32" s="63" t="s">
        <v>17</v>
      </c>
      <c r="V32" s="64"/>
      <c r="W32" s="39">
        <v>77</v>
      </c>
      <c r="Y32" s="63" t="s">
        <v>17</v>
      </c>
      <c r="Z32" s="64"/>
      <c r="AA32" s="39">
        <v>77</v>
      </c>
      <c r="AC32" s="63" t="s">
        <v>17</v>
      </c>
      <c r="AD32" s="64"/>
      <c r="AE32" s="39">
        <v>77</v>
      </c>
      <c r="AG32" s="63" t="s">
        <v>17</v>
      </c>
      <c r="AH32" s="64"/>
      <c r="AI32" s="39">
        <v>77</v>
      </c>
    </row>
    <row r="34" spans="14:14" x14ac:dyDescent="0.25">
      <c r="N34" t="s">
        <v>176</v>
      </c>
    </row>
  </sheetData>
  <mergeCells count="90">
    <mergeCell ref="Y1:AA1"/>
    <mergeCell ref="AC1:AE1"/>
    <mergeCell ref="AG1:AI1"/>
    <mergeCell ref="A2:C2"/>
    <mergeCell ref="E2:G2"/>
    <mergeCell ref="I2:K2"/>
    <mergeCell ref="M2:O2"/>
    <mergeCell ref="Q2:S2"/>
    <mergeCell ref="U2:W2"/>
    <mergeCell ref="Y2:AA2"/>
    <mergeCell ref="A1:C1"/>
    <mergeCell ref="E1:G1"/>
    <mergeCell ref="I1:K1"/>
    <mergeCell ref="M1:O1"/>
    <mergeCell ref="Q1:S1"/>
    <mergeCell ref="U1:W1"/>
    <mergeCell ref="AC2:AE2"/>
    <mergeCell ref="AG2:AI2"/>
    <mergeCell ref="A11:C11"/>
    <mergeCell ref="E11:G11"/>
    <mergeCell ref="I11:K11"/>
    <mergeCell ref="M11:O11"/>
    <mergeCell ref="Q11:S11"/>
    <mergeCell ref="U11:W11"/>
    <mergeCell ref="Y11:AA11"/>
    <mergeCell ref="AC11:AE11"/>
    <mergeCell ref="AG11:AI11"/>
    <mergeCell ref="A23:B23"/>
    <mergeCell ref="E23:F23"/>
    <mergeCell ref="I23:J23"/>
    <mergeCell ref="M23:N23"/>
    <mergeCell ref="Q23:R23"/>
    <mergeCell ref="U23:V23"/>
    <mergeCell ref="Y23:Z23"/>
    <mergeCell ref="AC23:AD23"/>
    <mergeCell ref="AG23:AH23"/>
    <mergeCell ref="Y24:Z24"/>
    <mergeCell ref="AC24:AD24"/>
    <mergeCell ref="AG24:AH24"/>
    <mergeCell ref="U24:V24"/>
    <mergeCell ref="A25:B25"/>
    <mergeCell ref="E25:F25"/>
    <mergeCell ref="I25:J25"/>
    <mergeCell ref="M25:N25"/>
    <mergeCell ref="Q25:R25"/>
    <mergeCell ref="A24:B24"/>
    <mergeCell ref="E24:F24"/>
    <mergeCell ref="I24:J24"/>
    <mergeCell ref="M24:N24"/>
    <mergeCell ref="Q24:R24"/>
    <mergeCell ref="U28:V28"/>
    <mergeCell ref="Y28:Z28"/>
    <mergeCell ref="AC28:AD28"/>
    <mergeCell ref="AG28:AH28"/>
    <mergeCell ref="AC25:AD25"/>
    <mergeCell ref="AG25:AH25"/>
    <mergeCell ref="U25:V25"/>
    <mergeCell ref="Y25:Z25"/>
    <mergeCell ref="Y32:Z32"/>
    <mergeCell ref="AC32:AD32"/>
    <mergeCell ref="AG32:AH32"/>
    <mergeCell ref="A26:B26"/>
    <mergeCell ref="E26:F26"/>
    <mergeCell ref="I26:J26"/>
    <mergeCell ref="M26:N26"/>
    <mergeCell ref="Q26:R26"/>
    <mergeCell ref="U26:V26"/>
    <mergeCell ref="Y26:Z26"/>
    <mergeCell ref="A32:B32"/>
    <mergeCell ref="E32:F32"/>
    <mergeCell ref="I32:J32"/>
    <mergeCell ref="M32:N32"/>
    <mergeCell ref="Q32:R32"/>
    <mergeCell ref="U32:V32"/>
    <mergeCell ref="AG29:AH29"/>
    <mergeCell ref="AC26:AD26"/>
    <mergeCell ref="AG26:AH26"/>
    <mergeCell ref="A29:B29"/>
    <mergeCell ref="E29:F29"/>
    <mergeCell ref="I29:J29"/>
    <mergeCell ref="M29:N29"/>
    <mergeCell ref="Q29:R29"/>
    <mergeCell ref="U29:V29"/>
    <mergeCell ref="Y29:Z29"/>
    <mergeCell ref="AC29:AD29"/>
    <mergeCell ref="A28:B28"/>
    <mergeCell ref="E28:F28"/>
    <mergeCell ref="I28:J28"/>
    <mergeCell ref="M28:N28"/>
    <mergeCell ref="Q28:R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C915-4105-4262-8F58-837A57C4AB7A}">
  <sheetPr codeName="Sheet3"/>
  <dimension ref="A1:AJ32"/>
  <sheetViews>
    <sheetView workbookViewId="0">
      <selection sqref="A1:XFD1048576"/>
    </sheetView>
  </sheetViews>
  <sheetFormatPr defaultRowHeight="15" x14ac:dyDescent="0.25"/>
  <cols>
    <col min="1" max="1" width="7.42578125" style="31" customWidth="1"/>
    <col min="2" max="2" width="7.42578125" customWidth="1"/>
    <col min="3" max="3" width="12.28515625" style="20" customWidth="1"/>
    <col min="4" max="4" width="1.7109375" style="20" customWidth="1"/>
    <col min="5" max="5" width="7.42578125" style="31" customWidth="1"/>
    <col min="6" max="6" width="7.42578125" customWidth="1"/>
    <col min="7" max="7" width="12.28515625" style="20" customWidth="1"/>
    <col min="8" max="8" width="1.7109375" style="20" customWidth="1"/>
    <col min="9" max="9" width="7.42578125" style="31" customWidth="1"/>
    <col min="10" max="10" width="7.42578125" customWidth="1"/>
    <col min="11" max="11" width="12.28515625" style="20" customWidth="1"/>
    <col min="12" max="12" width="1.7109375" style="20" customWidth="1"/>
    <col min="13" max="13" width="7.42578125" style="31" customWidth="1"/>
    <col min="14" max="14" width="7.42578125" customWidth="1"/>
    <col min="15" max="15" width="12.28515625" style="20" customWidth="1"/>
    <col min="16" max="16" width="1.7109375" style="20" customWidth="1"/>
    <col min="17" max="17" width="7.42578125" style="31" customWidth="1"/>
    <col min="18" max="18" width="7.42578125" customWidth="1"/>
    <col min="19" max="19" width="12.28515625" style="20" customWidth="1"/>
    <col min="20" max="20" width="1.7109375" style="20" customWidth="1"/>
    <col min="21" max="21" width="7.42578125" style="31" customWidth="1"/>
    <col min="22" max="22" width="7.42578125" customWidth="1"/>
    <col min="23" max="23" width="12.28515625" style="20" customWidth="1"/>
    <col min="24" max="24" width="1.7109375" style="20" customWidth="1"/>
    <col min="25" max="25" width="7.42578125" style="31" customWidth="1"/>
    <col min="26" max="26" width="7.42578125" customWidth="1"/>
    <col min="27" max="27" width="12.28515625" style="20" customWidth="1"/>
    <col min="28" max="28" width="1.7109375" style="20" customWidth="1"/>
    <col min="29" max="29" width="7.42578125" style="31" customWidth="1"/>
    <col min="30" max="30" width="7.42578125" customWidth="1"/>
    <col min="31" max="31" width="12.28515625" style="20" customWidth="1"/>
    <col min="32" max="32" width="1.7109375" style="20" customWidth="1"/>
    <col min="33" max="33" width="7.42578125" style="31" customWidth="1"/>
    <col min="34" max="34" width="7.42578125" customWidth="1"/>
    <col min="35" max="35" width="12.28515625" style="20" customWidth="1"/>
    <col min="36" max="36" width="1.7109375" style="20" customWidth="1"/>
  </cols>
  <sheetData>
    <row r="1" spans="1:36" x14ac:dyDescent="0.25">
      <c r="A1" s="69" t="s">
        <v>27</v>
      </c>
      <c r="B1" s="70"/>
      <c r="C1" s="70"/>
      <c r="D1" s="25"/>
      <c r="E1" s="69" t="s">
        <v>28</v>
      </c>
      <c r="F1" s="70"/>
      <c r="G1" s="70"/>
      <c r="H1" s="25"/>
      <c r="I1" s="69" t="s">
        <v>29</v>
      </c>
      <c r="J1" s="70"/>
      <c r="K1" s="70"/>
      <c r="L1" s="25"/>
      <c r="M1" s="69" t="s">
        <v>30</v>
      </c>
      <c r="N1" s="70"/>
      <c r="O1" s="70"/>
      <c r="P1" s="25"/>
      <c r="Q1" s="69" t="s">
        <v>31</v>
      </c>
      <c r="R1" s="70"/>
      <c r="S1" s="70"/>
      <c r="T1" s="25"/>
      <c r="U1" s="69" t="s">
        <v>32</v>
      </c>
      <c r="V1" s="70"/>
      <c r="W1" s="70"/>
      <c r="X1" s="25"/>
      <c r="Y1" s="69" t="s">
        <v>33</v>
      </c>
      <c r="Z1" s="70"/>
      <c r="AA1" s="70"/>
      <c r="AB1" s="25"/>
      <c r="AC1" s="69" t="s">
        <v>34</v>
      </c>
      <c r="AD1" s="70"/>
      <c r="AE1" s="70"/>
      <c r="AF1" s="25"/>
      <c r="AG1" s="69" t="s">
        <v>35</v>
      </c>
      <c r="AH1" s="70"/>
      <c r="AI1" s="70"/>
      <c r="AJ1" s="25"/>
    </row>
    <row r="2" spans="1:36" x14ac:dyDescent="0.25">
      <c r="A2" s="71" t="s">
        <v>9</v>
      </c>
      <c r="B2" s="72"/>
      <c r="C2" s="72"/>
      <c r="D2" s="25"/>
      <c r="E2" s="71" t="s">
        <v>9</v>
      </c>
      <c r="F2" s="72"/>
      <c r="G2" s="72"/>
      <c r="H2" s="25"/>
      <c r="I2" s="71" t="s">
        <v>9</v>
      </c>
      <c r="J2" s="72"/>
      <c r="K2" s="72"/>
      <c r="L2" s="25"/>
      <c r="M2" s="71" t="s">
        <v>9</v>
      </c>
      <c r="N2" s="72"/>
      <c r="O2" s="72"/>
      <c r="P2" s="25"/>
      <c r="Q2" s="71" t="s">
        <v>9</v>
      </c>
      <c r="R2" s="72"/>
      <c r="S2" s="72"/>
      <c r="T2" s="25"/>
      <c r="U2" s="71" t="s">
        <v>9</v>
      </c>
      <c r="V2" s="72"/>
      <c r="W2" s="72"/>
      <c r="X2" s="25"/>
      <c r="Y2" s="71" t="s">
        <v>9</v>
      </c>
      <c r="Z2" s="72"/>
      <c r="AA2" s="72"/>
      <c r="AB2" s="25"/>
      <c r="AC2" s="71" t="s">
        <v>9</v>
      </c>
      <c r="AD2" s="72"/>
      <c r="AE2" s="72"/>
      <c r="AF2" s="25"/>
      <c r="AG2" s="71" t="s">
        <v>9</v>
      </c>
      <c r="AH2" s="72"/>
      <c r="AI2" s="72"/>
      <c r="AJ2" s="25"/>
    </row>
    <row r="3" spans="1:36" x14ac:dyDescent="0.25">
      <c r="A3" s="16">
        <v>1</v>
      </c>
      <c r="B3" s="24">
        <v>0</v>
      </c>
      <c r="C3" s="17">
        <f>+A3*B3</f>
        <v>0</v>
      </c>
      <c r="D3" s="26"/>
      <c r="E3" s="16">
        <v>1</v>
      </c>
      <c r="F3" s="24">
        <v>0</v>
      </c>
      <c r="G3" s="17">
        <f>+E3*F3</f>
        <v>0</v>
      </c>
      <c r="H3" s="26"/>
      <c r="I3" s="16">
        <v>1</v>
      </c>
      <c r="J3" s="24">
        <v>0</v>
      </c>
      <c r="K3" s="17">
        <f>+I3*J3</f>
        <v>0</v>
      </c>
      <c r="L3" s="26"/>
      <c r="M3" s="16">
        <v>1</v>
      </c>
      <c r="N3" s="24">
        <v>0</v>
      </c>
      <c r="O3" s="17">
        <f>+M3*N3</f>
        <v>0</v>
      </c>
      <c r="P3" s="26"/>
      <c r="Q3" s="16">
        <v>1</v>
      </c>
      <c r="R3" s="24">
        <v>0</v>
      </c>
      <c r="S3" s="17">
        <f>+Q3*R3</f>
        <v>0</v>
      </c>
      <c r="T3" s="26"/>
      <c r="U3" s="16">
        <v>1</v>
      </c>
      <c r="V3" s="24">
        <v>0</v>
      </c>
      <c r="W3" s="17">
        <f>+U3*V3</f>
        <v>0</v>
      </c>
      <c r="X3" s="26"/>
      <c r="Y3" s="16">
        <v>1</v>
      </c>
      <c r="Z3" s="24">
        <v>0</v>
      </c>
      <c r="AA3" s="17">
        <f>+Y3*Z3</f>
        <v>0</v>
      </c>
      <c r="AB3" s="26"/>
      <c r="AC3" s="16">
        <v>1</v>
      </c>
      <c r="AD3" s="24">
        <v>0</v>
      </c>
      <c r="AE3" s="17">
        <f>+AC3*AD3</f>
        <v>0</v>
      </c>
      <c r="AF3" s="26"/>
      <c r="AG3" s="16">
        <v>1</v>
      </c>
      <c r="AH3" s="24">
        <v>0</v>
      </c>
      <c r="AI3" s="17">
        <f>+AG3*AH3</f>
        <v>0</v>
      </c>
      <c r="AJ3" s="26"/>
    </row>
    <row r="4" spans="1:36" x14ac:dyDescent="0.25">
      <c r="A4" s="16">
        <v>5</v>
      </c>
      <c r="B4" s="24">
        <v>0</v>
      </c>
      <c r="C4" s="17">
        <f t="shared" ref="C4:C9" si="0">+A4*B4</f>
        <v>0</v>
      </c>
      <c r="D4" s="26"/>
      <c r="E4" s="16">
        <v>5</v>
      </c>
      <c r="F4" s="24">
        <v>0</v>
      </c>
      <c r="G4" s="17">
        <f t="shared" ref="G4:G9" si="1">+E4*F4</f>
        <v>0</v>
      </c>
      <c r="H4" s="26"/>
      <c r="I4" s="16">
        <v>5</v>
      </c>
      <c r="J4" s="24">
        <v>0</v>
      </c>
      <c r="K4" s="17">
        <f t="shared" ref="K4:K9" si="2">+I4*J4</f>
        <v>0</v>
      </c>
      <c r="L4" s="26"/>
      <c r="M4" s="16">
        <v>5</v>
      </c>
      <c r="N4" s="24">
        <v>0</v>
      </c>
      <c r="O4" s="17">
        <f t="shared" ref="O4:O9" si="3">+M4*N4</f>
        <v>0</v>
      </c>
      <c r="P4" s="26"/>
      <c r="Q4" s="16">
        <v>5</v>
      </c>
      <c r="R4" s="24">
        <v>0</v>
      </c>
      <c r="S4" s="17">
        <f t="shared" ref="S4:S9" si="4">+Q4*R4</f>
        <v>0</v>
      </c>
      <c r="T4" s="26"/>
      <c r="U4" s="16">
        <v>5</v>
      </c>
      <c r="V4" s="24">
        <v>0</v>
      </c>
      <c r="W4" s="17">
        <f t="shared" ref="W4:W9" si="5">+U4*V4</f>
        <v>0</v>
      </c>
      <c r="X4" s="26"/>
      <c r="Y4" s="16">
        <v>5</v>
      </c>
      <c r="Z4" s="24">
        <v>0</v>
      </c>
      <c r="AA4" s="17">
        <f t="shared" ref="AA4:AA9" si="6">+Y4*Z4</f>
        <v>0</v>
      </c>
      <c r="AB4" s="26"/>
      <c r="AC4" s="16">
        <v>5</v>
      </c>
      <c r="AD4" s="24">
        <v>0</v>
      </c>
      <c r="AE4" s="17">
        <f t="shared" ref="AE4:AE9" si="7">+AC4*AD4</f>
        <v>0</v>
      </c>
      <c r="AF4" s="26"/>
      <c r="AG4" s="16">
        <v>5</v>
      </c>
      <c r="AH4" s="24">
        <v>0</v>
      </c>
      <c r="AI4" s="17">
        <f t="shared" ref="AI4:AI9" si="8">+AG4*AH4</f>
        <v>0</v>
      </c>
      <c r="AJ4" s="26"/>
    </row>
    <row r="5" spans="1:36" x14ac:dyDescent="0.25">
      <c r="A5" s="16">
        <v>10</v>
      </c>
      <c r="B5" s="24">
        <v>0</v>
      </c>
      <c r="C5" s="17">
        <f t="shared" si="0"/>
        <v>0</v>
      </c>
      <c r="D5" s="26"/>
      <c r="E5" s="16">
        <v>10</v>
      </c>
      <c r="F5" s="24">
        <v>0</v>
      </c>
      <c r="G5" s="17">
        <f t="shared" si="1"/>
        <v>0</v>
      </c>
      <c r="H5" s="26"/>
      <c r="I5" s="16">
        <v>10</v>
      </c>
      <c r="J5" s="24">
        <v>0</v>
      </c>
      <c r="K5" s="17">
        <f t="shared" si="2"/>
        <v>0</v>
      </c>
      <c r="L5" s="26"/>
      <c r="M5" s="16">
        <v>10</v>
      </c>
      <c r="N5" s="24">
        <v>0</v>
      </c>
      <c r="O5" s="17">
        <f t="shared" si="3"/>
        <v>0</v>
      </c>
      <c r="P5" s="26"/>
      <c r="Q5" s="16">
        <v>10</v>
      </c>
      <c r="R5" s="24">
        <v>0</v>
      </c>
      <c r="S5" s="17">
        <f t="shared" si="4"/>
        <v>0</v>
      </c>
      <c r="T5" s="26"/>
      <c r="U5" s="16">
        <v>10</v>
      </c>
      <c r="V5" s="24">
        <v>0</v>
      </c>
      <c r="W5" s="17">
        <f t="shared" si="5"/>
        <v>0</v>
      </c>
      <c r="X5" s="26"/>
      <c r="Y5" s="16">
        <v>10</v>
      </c>
      <c r="Z5" s="24">
        <v>0</v>
      </c>
      <c r="AA5" s="17">
        <f t="shared" si="6"/>
        <v>0</v>
      </c>
      <c r="AB5" s="26"/>
      <c r="AC5" s="16">
        <v>10</v>
      </c>
      <c r="AD5" s="24">
        <v>0</v>
      </c>
      <c r="AE5" s="17">
        <f t="shared" si="7"/>
        <v>0</v>
      </c>
      <c r="AF5" s="26"/>
      <c r="AG5" s="16">
        <v>10</v>
      </c>
      <c r="AH5" s="24">
        <v>0</v>
      </c>
      <c r="AI5" s="17">
        <f t="shared" si="8"/>
        <v>0</v>
      </c>
      <c r="AJ5" s="26"/>
    </row>
    <row r="6" spans="1:36" x14ac:dyDescent="0.25">
      <c r="A6" s="16">
        <v>20</v>
      </c>
      <c r="B6" s="24">
        <v>0</v>
      </c>
      <c r="C6" s="17">
        <f t="shared" si="0"/>
        <v>0</v>
      </c>
      <c r="D6" s="26"/>
      <c r="E6" s="16">
        <v>20</v>
      </c>
      <c r="F6" s="24">
        <v>0</v>
      </c>
      <c r="G6" s="17">
        <f t="shared" si="1"/>
        <v>0</v>
      </c>
      <c r="H6" s="26"/>
      <c r="I6" s="16">
        <v>20</v>
      </c>
      <c r="J6" s="24">
        <v>0</v>
      </c>
      <c r="K6" s="17">
        <f t="shared" si="2"/>
        <v>0</v>
      </c>
      <c r="L6" s="26"/>
      <c r="M6" s="16">
        <v>20</v>
      </c>
      <c r="N6" s="24">
        <v>0</v>
      </c>
      <c r="O6" s="17">
        <f t="shared" si="3"/>
        <v>0</v>
      </c>
      <c r="P6" s="26"/>
      <c r="Q6" s="16">
        <v>20</v>
      </c>
      <c r="R6" s="24">
        <v>0</v>
      </c>
      <c r="S6" s="17">
        <f t="shared" si="4"/>
        <v>0</v>
      </c>
      <c r="T6" s="26"/>
      <c r="U6" s="16">
        <v>20</v>
      </c>
      <c r="V6" s="24">
        <v>0</v>
      </c>
      <c r="W6" s="17">
        <f t="shared" si="5"/>
        <v>0</v>
      </c>
      <c r="X6" s="26"/>
      <c r="Y6" s="16">
        <v>20</v>
      </c>
      <c r="Z6" s="24">
        <v>0</v>
      </c>
      <c r="AA6" s="17">
        <f t="shared" si="6"/>
        <v>0</v>
      </c>
      <c r="AB6" s="26"/>
      <c r="AC6" s="16">
        <v>20</v>
      </c>
      <c r="AD6" s="24">
        <v>0</v>
      </c>
      <c r="AE6" s="17">
        <f t="shared" si="7"/>
        <v>0</v>
      </c>
      <c r="AF6" s="26"/>
      <c r="AG6" s="16">
        <v>20</v>
      </c>
      <c r="AH6" s="24">
        <v>0</v>
      </c>
      <c r="AI6" s="17">
        <f t="shared" si="8"/>
        <v>0</v>
      </c>
      <c r="AJ6" s="26"/>
    </row>
    <row r="7" spans="1:36" x14ac:dyDescent="0.25">
      <c r="A7" s="16">
        <v>20</v>
      </c>
      <c r="B7" s="24">
        <v>0</v>
      </c>
      <c r="C7" s="17">
        <f t="shared" si="0"/>
        <v>0</v>
      </c>
      <c r="D7" s="26"/>
      <c r="E7" s="16">
        <v>20</v>
      </c>
      <c r="F7" s="24">
        <v>0</v>
      </c>
      <c r="G7" s="17">
        <f t="shared" si="1"/>
        <v>0</v>
      </c>
      <c r="H7" s="26"/>
      <c r="I7" s="16">
        <v>20</v>
      </c>
      <c r="J7" s="24">
        <v>0</v>
      </c>
      <c r="K7" s="17">
        <f t="shared" si="2"/>
        <v>0</v>
      </c>
      <c r="L7" s="26"/>
      <c r="M7" s="16">
        <v>20</v>
      </c>
      <c r="N7" s="24">
        <v>0</v>
      </c>
      <c r="O7" s="17">
        <f t="shared" si="3"/>
        <v>0</v>
      </c>
      <c r="P7" s="26"/>
      <c r="Q7" s="16">
        <v>20</v>
      </c>
      <c r="R7" s="24">
        <v>0</v>
      </c>
      <c r="S7" s="17">
        <f t="shared" si="4"/>
        <v>0</v>
      </c>
      <c r="T7" s="26"/>
      <c r="U7" s="16">
        <v>20</v>
      </c>
      <c r="V7" s="24">
        <v>0</v>
      </c>
      <c r="W7" s="17">
        <f t="shared" si="5"/>
        <v>0</v>
      </c>
      <c r="X7" s="26"/>
      <c r="Y7" s="16">
        <v>20</v>
      </c>
      <c r="Z7" s="24">
        <v>0</v>
      </c>
      <c r="AA7" s="17">
        <f t="shared" si="6"/>
        <v>0</v>
      </c>
      <c r="AB7" s="26"/>
      <c r="AC7" s="16">
        <v>20</v>
      </c>
      <c r="AD7" s="24">
        <v>0</v>
      </c>
      <c r="AE7" s="17">
        <f t="shared" si="7"/>
        <v>0</v>
      </c>
      <c r="AF7" s="26"/>
      <c r="AG7" s="16">
        <v>20</v>
      </c>
      <c r="AH7" s="24">
        <v>0</v>
      </c>
      <c r="AI7" s="17">
        <f t="shared" si="8"/>
        <v>0</v>
      </c>
      <c r="AJ7" s="26"/>
    </row>
    <row r="8" spans="1:36" x14ac:dyDescent="0.25">
      <c r="A8" s="16">
        <v>50</v>
      </c>
      <c r="B8" s="24">
        <v>0</v>
      </c>
      <c r="C8" s="17">
        <f t="shared" si="0"/>
        <v>0</v>
      </c>
      <c r="D8" s="26"/>
      <c r="E8" s="16">
        <v>50</v>
      </c>
      <c r="F8" s="24">
        <v>0</v>
      </c>
      <c r="G8" s="17">
        <f t="shared" si="1"/>
        <v>0</v>
      </c>
      <c r="H8" s="26"/>
      <c r="I8" s="16">
        <v>50</v>
      </c>
      <c r="J8" s="24">
        <v>0</v>
      </c>
      <c r="K8" s="17">
        <f t="shared" si="2"/>
        <v>0</v>
      </c>
      <c r="L8" s="26"/>
      <c r="M8" s="16">
        <v>50</v>
      </c>
      <c r="N8" s="24">
        <v>0</v>
      </c>
      <c r="O8" s="17">
        <f t="shared" si="3"/>
        <v>0</v>
      </c>
      <c r="P8" s="26"/>
      <c r="Q8" s="16">
        <v>50</v>
      </c>
      <c r="R8" s="24">
        <v>0</v>
      </c>
      <c r="S8" s="17">
        <f t="shared" si="4"/>
        <v>0</v>
      </c>
      <c r="T8" s="26"/>
      <c r="U8" s="16">
        <v>50</v>
      </c>
      <c r="V8" s="24">
        <v>0</v>
      </c>
      <c r="W8" s="17">
        <f t="shared" si="5"/>
        <v>0</v>
      </c>
      <c r="X8" s="26"/>
      <c r="Y8" s="16">
        <v>50</v>
      </c>
      <c r="Z8" s="24">
        <v>0</v>
      </c>
      <c r="AA8" s="17">
        <f t="shared" si="6"/>
        <v>0</v>
      </c>
      <c r="AB8" s="26"/>
      <c r="AC8" s="16">
        <v>50</v>
      </c>
      <c r="AD8" s="24">
        <v>0</v>
      </c>
      <c r="AE8" s="17">
        <f t="shared" si="7"/>
        <v>0</v>
      </c>
      <c r="AF8" s="26"/>
      <c r="AG8" s="16">
        <v>50</v>
      </c>
      <c r="AH8" s="24">
        <v>0</v>
      </c>
      <c r="AI8" s="17">
        <f t="shared" si="8"/>
        <v>0</v>
      </c>
      <c r="AJ8" s="26"/>
    </row>
    <row r="9" spans="1:36" x14ac:dyDescent="0.25">
      <c r="A9" s="16">
        <v>100</v>
      </c>
      <c r="B9" s="24">
        <v>0</v>
      </c>
      <c r="C9" s="17">
        <f t="shared" si="0"/>
        <v>0</v>
      </c>
      <c r="D9" s="26"/>
      <c r="E9" s="16">
        <v>100</v>
      </c>
      <c r="F9" s="24">
        <v>0</v>
      </c>
      <c r="G9" s="17">
        <f t="shared" si="1"/>
        <v>0</v>
      </c>
      <c r="H9" s="26"/>
      <c r="I9" s="16">
        <v>100</v>
      </c>
      <c r="J9" s="24">
        <v>0</v>
      </c>
      <c r="K9" s="17">
        <f t="shared" si="2"/>
        <v>0</v>
      </c>
      <c r="L9" s="26"/>
      <c r="M9" s="16">
        <v>100</v>
      </c>
      <c r="N9" s="24">
        <v>0</v>
      </c>
      <c r="O9" s="17">
        <f t="shared" si="3"/>
        <v>0</v>
      </c>
      <c r="P9" s="26"/>
      <c r="Q9" s="16">
        <v>100</v>
      </c>
      <c r="R9" s="24">
        <v>0</v>
      </c>
      <c r="S9" s="17">
        <f t="shared" si="4"/>
        <v>0</v>
      </c>
      <c r="T9" s="26"/>
      <c r="U9" s="16">
        <v>100</v>
      </c>
      <c r="V9" s="24">
        <v>0</v>
      </c>
      <c r="W9" s="17">
        <f t="shared" si="5"/>
        <v>0</v>
      </c>
      <c r="X9" s="26"/>
      <c r="Y9" s="16">
        <v>100</v>
      </c>
      <c r="Z9" s="24">
        <v>0</v>
      </c>
      <c r="AA9" s="17">
        <f t="shared" si="6"/>
        <v>0</v>
      </c>
      <c r="AB9" s="26"/>
      <c r="AC9" s="16">
        <v>100</v>
      </c>
      <c r="AD9" s="24">
        <v>0</v>
      </c>
      <c r="AE9" s="17">
        <f t="shared" si="7"/>
        <v>0</v>
      </c>
      <c r="AF9" s="26"/>
      <c r="AG9" s="16">
        <v>100</v>
      </c>
      <c r="AH9" s="24">
        <v>0</v>
      </c>
      <c r="AI9" s="17">
        <f t="shared" si="8"/>
        <v>0</v>
      </c>
      <c r="AJ9" s="26"/>
    </row>
    <row r="10" spans="1:36" x14ac:dyDescent="0.25">
      <c r="A10" s="16"/>
      <c r="B10" s="27" t="s">
        <v>10</v>
      </c>
      <c r="C10" s="18">
        <f>SUM(C3:C9)</f>
        <v>0</v>
      </c>
      <c r="D10" s="26"/>
      <c r="E10" s="16"/>
      <c r="F10" s="27" t="s">
        <v>10</v>
      </c>
      <c r="G10" s="18">
        <f>SUM(G3:G9)</f>
        <v>0</v>
      </c>
      <c r="H10" s="26"/>
      <c r="I10" s="16"/>
      <c r="J10" s="27" t="s">
        <v>10</v>
      </c>
      <c r="K10" s="18">
        <f>SUM(K3:K9)</f>
        <v>0</v>
      </c>
      <c r="L10" s="26"/>
      <c r="M10" s="16"/>
      <c r="N10" s="27" t="s">
        <v>10</v>
      </c>
      <c r="O10" s="18">
        <f>SUM(O3:O9)</f>
        <v>0</v>
      </c>
      <c r="P10" s="26"/>
      <c r="Q10" s="16"/>
      <c r="R10" s="27" t="s">
        <v>10</v>
      </c>
      <c r="S10" s="18">
        <f>SUM(S3:S9)</f>
        <v>0</v>
      </c>
      <c r="T10" s="26"/>
      <c r="U10" s="16"/>
      <c r="V10" s="27" t="s">
        <v>10</v>
      </c>
      <c r="W10" s="18">
        <f>SUM(W3:W9)</f>
        <v>0</v>
      </c>
      <c r="X10" s="26"/>
      <c r="Y10" s="16"/>
      <c r="Z10" s="27" t="s">
        <v>10</v>
      </c>
      <c r="AA10" s="18">
        <f>SUM(AA3:AA9)</f>
        <v>0</v>
      </c>
      <c r="AB10" s="26"/>
      <c r="AC10" s="16"/>
      <c r="AD10" s="27" t="s">
        <v>10</v>
      </c>
      <c r="AE10" s="18">
        <f>SUM(AE3:AE9)</f>
        <v>0</v>
      </c>
      <c r="AF10" s="26"/>
      <c r="AG10" s="16"/>
      <c r="AH10" s="27" t="s">
        <v>10</v>
      </c>
      <c r="AI10" s="18">
        <f>SUM(AI3:AI9)</f>
        <v>0</v>
      </c>
      <c r="AJ10" s="26"/>
    </row>
    <row r="11" spans="1:36" x14ac:dyDescent="0.25">
      <c r="A11" s="71" t="s">
        <v>11</v>
      </c>
      <c r="B11" s="72"/>
      <c r="C11" s="72"/>
      <c r="D11" s="25"/>
      <c r="E11" s="71" t="s">
        <v>11</v>
      </c>
      <c r="F11" s="72"/>
      <c r="G11" s="72"/>
      <c r="H11" s="25"/>
      <c r="I11" s="71" t="s">
        <v>11</v>
      </c>
      <c r="J11" s="72"/>
      <c r="K11" s="72"/>
      <c r="L11" s="25"/>
      <c r="M11" s="71" t="s">
        <v>11</v>
      </c>
      <c r="N11" s="72"/>
      <c r="O11" s="72"/>
      <c r="P11" s="25"/>
      <c r="Q11" s="71" t="s">
        <v>11</v>
      </c>
      <c r="R11" s="72"/>
      <c r="S11" s="72"/>
      <c r="T11" s="25"/>
      <c r="U11" s="71" t="s">
        <v>11</v>
      </c>
      <c r="V11" s="72"/>
      <c r="W11" s="72"/>
      <c r="X11" s="25"/>
      <c r="Y11" s="71" t="s">
        <v>11</v>
      </c>
      <c r="Z11" s="72"/>
      <c r="AA11" s="72"/>
      <c r="AB11" s="25"/>
      <c r="AC11" s="71" t="s">
        <v>11</v>
      </c>
      <c r="AD11" s="72"/>
      <c r="AE11" s="72"/>
      <c r="AF11" s="25"/>
      <c r="AG11" s="71" t="s">
        <v>11</v>
      </c>
      <c r="AH11" s="72"/>
      <c r="AI11" s="72"/>
      <c r="AJ11" s="25"/>
    </row>
    <row r="12" spans="1:36" x14ac:dyDescent="0.25">
      <c r="A12" s="32">
        <v>30</v>
      </c>
      <c r="B12" s="24">
        <v>0</v>
      </c>
      <c r="C12" s="17">
        <f>+A12*B12</f>
        <v>0</v>
      </c>
      <c r="D12" s="26"/>
      <c r="E12" s="32">
        <v>30</v>
      </c>
      <c r="F12" s="24">
        <v>0</v>
      </c>
      <c r="G12" s="17">
        <f t="shared" ref="G12:G21" si="9">+E12*C12</f>
        <v>0</v>
      </c>
      <c r="H12" s="26"/>
      <c r="I12" s="32">
        <v>30</v>
      </c>
      <c r="J12" s="24">
        <v>0</v>
      </c>
      <c r="K12" s="17">
        <f>+I12*J12</f>
        <v>0</v>
      </c>
      <c r="L12" s="26"/>
      <c r="M12" s="32">
        <v>30</v>
      </c>
      <c r="N12" s="24">
        <v>0</v>
      </c>
      <c r="O12" s="17">
        <f t="shared" ref="O12:O21" si="10">+M12*D12</f>
        <v>0</v>
      </c>
      <c r="P12" s="26"/>
      <c r="Q12" s="32">
        <v>30</v>
      </c>
      <c r="R12" s="24">
        <v>0</v>
      </c>
      <c r="S12" s="17">
        <f>+Q12*R12</f>
        <v>0</v>
      </c>
      <c r="T12" s="26"/>
      <c r="U12" s="32">
        <v>30</v>
      </c>
      <c r="V12" s="24">
        <v>0</v>
      </c>
      <c r="W12" s="17">
        <f>+U12*V12</f>
        <v>0</v>
      </c>
      <c r="X12" s="26"/>
      <c r="Y12" s="32">
        <v>30</v>
      </c>
      <c r="Z12" s="24">
        <v>0</v>
      </c>
      <c r="AA12" s="17">
        <f>+Y12*Z12</f>
        <v>0</v>
      </c>
      <c r="AB12" s="26"/>
      <c r="AC12" s="32">
        <v>30</v>
      </c>
      <c r="AD12" s="24">
        <v>0</v>
      </c>
      <c r="AE12" s="17">
        <f>+AC12*AD12</f>
        <v>0</v>
      </c>
      <c r="AF12" s="26"/>
      <c r="AG12" s="32">
        <v>30</v>
      </c>
      <c r="AH12" s="24">
        <v>0</v>
      </c>
      <c r="AI12" s="17">
        <f>+AG12*AH12</f>
        <v>0</v>
      </c>
      <c r="AJ12" s="26"/>
    </row>
    <row r="13" spans="1:36" x14ac:dyDescent="0.25">
      <c r="A13" s="32">
        <v>60</v>
      </c>
      <c r="B13" s="24">
        <v>0</v>
      </c>
      <c r="C13" s="17">
        <f t="shared" ref="C13:C21" si="11">+A13*B13</f>
        <v>0</v>
      </c>
      <c r="D13" s="26"/>
      <c r="E13" s="32">
        <v>60</v>
      </c>
      <c r="F13" s="24">
        <v>0</v>
      </c>
      <c r="G13" s="17">
        <f t="shared" si="9"/>
        <v>0</v>
      </c>
      <c r="H13" s="26"/>
      <c r="I13" s="32">
        <v>60</v>
      </c>
      <c r="J13" s="24">
        <v>0</v>
      </c>
      <c r="K13" s="17">
        <f t="shared" ref="K13:K21" si="12">+I13*J13</f>
        <v>0</v>
      </c>
      <c r="L13" s="26"/>
      <c r="M13" s="32">
        <v>60</v>
      </c>
      <c r="N13" s="24">
        <v>0</v>
      </c>
      <c r="O13" s="17">
        <f t="shared" si="10"/>
        <v>0</v>
      </c>
      <c r="P13" s="26"/>
      <c r="Q13" s="32">
        <v>60</v>
      </c>
      <c r="R13" s="24">
        <v>0</v>
      </c>
      <c r="S13" s="17">
        <f t="shared" ref="S13:S21" si="13">+Q13*R13</f>
        <v>0</v>
      </c>
      <c r="T13" s="26"/>
      <c r="U13" s="32">
        <v>60</v>
      </c>
      <c r="V13" s="24">
        <v>0</v>
      </c>
      <c r="W13" s="17">
        <f t="shared" ref="W13:W21" si="14">+U13*V13</f>
        <v>0</v>
      </c>
      <c r="X13" s="26"/>
      <c r="Y13" s="32">
        <v>60</v>
      </c>
      <c r="Z13" s="24">
        <v>0</v>
      </c>
      <c r="AA13" s="17">
        <f t="shared" ref="AA13:AA21" si="15">+Y13*Z13</f>
        <v>0</v>
      </c>
      <c r="AB13" s="26"/>
      <c r="AC13" s="32">
        <v>60</v>
      </c>
      <c r="AD13" s="24">
        <v>0</v>
      </c>
      <c r="AE13" s="17">
        <f t="shared" ref="AE13:AE21" si="16">+AC13*AD13</f>
        <v>0</v>
      </c>
      <c r="AF13" s="26"/>
      <c r="AG13" s="32">
        <v>60</v>
      </c>
      <c r="AH13" s="24">
        <v>0</v>
      </c>
      <c r="AI13" s="17">
        <f t="shared" ref="AI13:AI21" si="17">+AG13*AH13</f>
        <v>0</v>
      </c>
      <c r="AJ13" s="26"/>
    </row>
    <row r="14" spans="1:36" x14ac:dyDescent="0.25">
      <c r="A14" s="32">
        <v>90</v>
      </c>
      <c r="B14" s="24">
        <v>0</v>
      </c>
      <c r="C14" s="17">
        <f t="shared" si="11"/>
        <v>0</v>
      </c>
      <c r="D14" s="26"/>
      <c r="E14" s="32">
        <v>90</v>
      </c>
      <c r="F14" s="24">
        <v>0</v>
      </c>
      <c r="G14" s="17">
        <f t="shared" si="9"/>
        <v>0</v>
      </c>
      <c r="H14" s="26"/>
      <c r="I14" s="32">
        <v>90</v>
      </c>
      <c r="J14" s="24">
        <v>0</v>
      </c>
      <c r="K14" s="17">
        <f t="shared" si="12"/>
        <v>0</v>
      </c>
      <c r="L14" s="26"/>
      <c r="M14" s="32">
        <v>90</v>
      </c>
      <c r="N14" s="24">
        <v>0</v>
      </c>
      <c r="O14" s="17">
        <f t="shared" si="10"/>
        <v>0</v>
      </c>
      <c r="P14" s="26"/>
      <c r="Q14" s="32">
        <v>90</v>
      </c>
      <c r="R14" s="24">
        <v>0</v>
      </c>
      <c r="S14" s="17">
        <f t="shared" si="13"/>
        <v>0</v>
      </c>
      <c r="T14" s="26"/>
      <c r="U14" s="32">
        <v>90</v>
      </c>
      <c r="V14" s="24">
        <v>0</v>
      </c>
      <c r="W14" s="17">
        <f t="shared" si="14"/>
        <v>0</v>
      </c>
      <c r="X14" s="26"/>
      <c r="Y14" s="32">
        <v>90</v>
      </c>
      <c r="Z14" s="24">
        <v>0</v>
      </c>
      <c r="AA14" s="17">
        <f t="shared" si="15"/>
        <v>0</v>
      </c>
      <c r="AB14" s="26"/>
      <c r="AC14" s="32">
        <v>90</v>
      </c>
      <c r="AD14" s="24">
        <v>0</v>
      </c>
      <c r="AE14" s="17">
        <f t="shared" si="16"/>
        <v>0</v>
      </c>
      <c r="AF14" s="26"/>
      <c r="AG14" s="32">
        <v>90</v>
      </c>
      <c r="AH14" s="24">
        <v>0</v>
      </c>
      <c r="AI14" s="17">
        <f t="shared" si="17"/>
        <v>0</v>
      </c>
      <c r="AJ14" s="26"/>
    </row>
    <row r="15" spans="1:36" x14ac:dyDescent="0.25">
      <c r="A15" s="32">
        <v>120</v>
      </c>
      <c r="B15" s="24">
        <v>0</v>
      </c>
      <c r="C15" s="17">
        <f t="shared" si="11"/>
        <v>0</v>
      </c>
      <c r="D15" s="26"/>
      <c r="E15" s="32">
        <v>120</v>
      </c>
      <c r="F15" s="24">
        <v>0</v>
      </c>
      <c r="G15" s="17">
        <f t="shared" si="9"/>
        <v>0</v>
      </c>
      <c r="H15" s="26"/>
      <c r="I15" s="32">
        <v>120</v>
      </c>
      <c r="J15" s="24">
        <v>0</v>
      </c>
      <c r="K15" s="17">
        <f t="shared" si="12"/>
        <v>0</v>
      </c>
      <c r="L15" s="26"/>
      <c r="M15" s="32">
        <v>120</v>
      </c>
      <c r="N15" s="24">
        <v>0</v>
      </c>
      <c r="O15" s="17">
        <f t="shared" si="10"/>
        <v>0</v>
      </c>
      <c r="P15" s="26"/>
      <c r="Q15" s="32">
        <v>120</v>
      </c>
      <c r="R15" s="24">
        <v>0</v>
      </c>
      <c r="S15" s="17">
        <f t="shared" si="13"/>
        <v>0</v>
      </c>
      <c r="T15" s="26"/>
      <c r="U15" s="32">
        <v>120</v>
      </c>
      <c r="V15" s="24">
        <v>0</v>
      </c>
      <c r="W15" s="17">
        <f t="shared" si="14"/>
        <v>0</v>
      </c>
      <c r="X15" s="26"/>
      <c r="Y15" s="32">
        <v>120</v>
      </c>
      <c r="Z15" s="24">
        <v>0</v>
      </c>
      <c r="AA15" s="17">
        <f t="shared" si="15"/>
        <v>0</v>
      </c>
      <c r="AB15" s="26"/>
      <c r="AC15" s="32">
        <v>120</v>
      </c>
      <c r="AD15" s="24">
        <v>0</v>
      </c>
      <c r="AE15" s="17">
        <f t="shared" si="16"/>
        <v>0</v>
      </c>
      <c r="AF15" s="26"/>
      <c r="AG15" s="32">
        <v>120</v>
      </c>
      <c r="AH15" s="24">
        <v>0</v>
      </c>
      <c r="AI15" s="17">
        <f t="shared" si="17"/>
        <v>0</v>
      </c>
      <c r="AJ15" s="26"/>
    </row>
    <row r="16" spans="1:36" x14ac:dyDescent="0.25">
      <c r="A16" s="33"/>
      <c r="B16" s="24">
        <v>0</v>
      </c>
      <c r="C16" s="17">
        <f t="shared" si="11"/>
        <v>0</v>
      </c>
      <c r="D16" s="26"/>
      <c r="E16" s="33"/>
      <c r="F16" s="24">
        <v>0</v>
      </c>
      <c r="G16" s="17">
        <f t="shared" si="9"/>
        <v>0</v>
      </c>
      <c r="H16" s="26"/>
      <c r="I16" s="33"/>
      <c r="J16" s="24">
        <v>0</v>
      </c>
      <c r="K16" s="17">
        <f t="shared" si="12"/>
        <v>0</v>
      </c>
      <c r="L16" s="26"/>
      <c r="M16" s="33"/>
      <c r="N16" s="24">
        <v>0</v>
      </c>
      <c r="O16" s="17">
        <f t="shared" si="10"/>
        <v>0</v>
      </c>
      <c r="P16" s="26"/>
      <c r="Q16" s="33"/>
      <c r="R16" s="24">
        <v>0</v>
      </c>
      <c r="S16" s="17">
        <f t="shared" si="13"/>
        <v>0</v>
      </c>
      <c r="T16" s="26"/>
      <c r="U16" s="33"/>
      <c r="V16" s="24">
        <v>0</v>
      </c>
      <c r="W16" s="17">
        <f t="shared" si="14"/>
        <v>0</v>
      </c>
      <c r="X16" s="26"/>
      <c r="Y16" s="33"/>
      <c r="Z16" s="24">
        <v>0</v>
      </c>
      <c r="AA16" s="17">
        <f t="shared" si="15"/>
        <v>0</v>
      </c>
      <c r="AB16" s="26"/>
      <c r="AC16" s="33"/>
      <c r="AD16" s="24">
        <v>0</v>
      </c>
      <c r="AE16" s="17">
        <f t="shared" si="16"/>
        <v>0</v>
      </c>
      <c r="AF16" s="26"/>
      <c r="AG16" s="33"/>
      <c r="AH16" s="24">
        <v>0</v>
      </c>
      <c r="AI16" s="17">
        <f t="shared" si="17"/>
        <v>0</v>
      </c>
      <c r="AJ16" s="26"/>
    </row>
    <row r="17" spans="1:36" x14ac:dyDescent="0.25">
      <c r="A17" s="33"/>
      <c r="B17" s="24">
        <v>0</v>
      </c>
      <c r="C17" s="17">
        <f t="shared" si="11"/>
        <v>0</v>
      </c>
      <c r="D17" s="26"/>
      <c r="E17" s="33"/>
      <c r="F17" s="24">
        <v>0</v>
      </c>
      <c r="G17" s="17">
        <f t="shared" si="9"/>
        <v>0</v>
      </c>
      <c r="H17" s="26"/>
      <c r="I17" s="33"/>
      <c r="J17" s="24">
        <v>0</v>
      </c>
      <c r="K17" s="17">
        <f t="shared" si="12"/>
        <v>0</v>
      </c>
      <c r="L17" s="26"/>
      <c r="M17" s="33"/>
      <c r="N17" s="24">
        <v>0</v>
      </c>
      <c r="O17" s="17">
        <f t="shared" si="10"/>
        <v>0</v>
      </c>
      <c r="P17" s="26"/>
      <c r="Q17" s="33"/>
      <c r="R17" s="24">
        <v>0</v>
      </c>
      <c r="S17" s="17">
        <f t="shared" si="13"/>
        <v>0</v>
      </c>
      <c r="T17" s="26"/>
      <c r="U17" s="33"/>
      <c r="V17" s="24">
        <v>0</v>
      </c>
      <c r="W17" s="17">
        <f t="shared" si="14"/>
        <v>0</v>
      </c>
      <c r="X17" s="26"/>
      <c r="Y17" s="33"/>
      <c r="Z17" s="24">
        <v>0</v>
      </c>
      <c r="AA17" s="17">
        <f t="shared" si="15"/>
        <v>0</v>
      </c>
      <c r="AB17" s="26"/>
      <c r="AC17" s="33"/>
      <c r="AD17" s="24">
        <v>0</v>
      </c>
      <c r="AE17" s="17">
        <f t="shared" si="16"/>
        <v>0</v>
      </c>
      <c r="AF17" s="26"/>
      <c r="AG17" s="33"/>
      <c r="AH17" s="24">
        <v>0</v>
      </c>
      <c r="AI17" s="17">
        <f t="shared" si="17"/>
        <v>0</v>
      </c>
      <c r="AJ17" s="26"/>
    </row>
    <row r="18" spans="1:36" x14ac:dyDescent="0.25">
      <c r="A18" s="33"/>
      <c r="B18" s="24">
        <v>0</v>
      </c>
      <c r="C18" s="17">
        <f t="shared" si="11"/>
        <v>0</v>
      </c>
      <c r="D18" s="26"/>
      <c r="E18" s="33"/>
      <c r="F18" s="24">
        <v>0</v>
      </c>
      <c r="G18" s="17">
        <f t="shared" si="9"/>
        <v>0</v>
      </c>
      <c r="H18" s="26"/>
      <c r="I18" s="33"/>
      <c r="J18" s="24">
        <v>0</v>
      </c>
      <c r="K18" s="17">
        <f t="shared" si="12"/>
        <v>0</v>
      </c>
      <c r="L18" s="26"/>
      <c r="M18" s="33"/>
      <c r="N18" s="24">
        <v>0</v>
      </c>
      <c r="O18" s="17">
        <f t="shared" si="10"/>
        <v>0</v>
      </c>
      <c r="P18" s="26"/>
      <c r="Q18" s="33"/>
      <c r="R18" s="24">
        <v>0</v>
      </c>
      <c r="S18" s="17">
        <f t="shared" si="13"/>
        <v>0</v>
      </c>
      <c r="T18" s="26"/>
      <c r="U18" s="33"/>
      <c r="V18" s="24">
        <v>0</v>
      </c>
      <c r="W18" s="17">
        <f t="shared" si="14"/>
        <v>0</v>
      </c>
      <c r="X18" s="26"/>
      <c r="Y18" s="33"/>
      <c r="Z18" s="24">
        <v>0</v>
      </c>
      <c r="AA18" s="17">
        <f t="shared" si="15"/>
        <v>0</v>
      </c>
      <c r="AB18" s="26"/>
      <c r="AC18" s="33"/>
      <c r="AD18" s="24">
        <v>0</v>
      </c>
      <c r="AE18" s="17">
        <f t="shared" si="16"/>
        <v>0</v>
      </c>
      <c r="AF18" s="26"/>
      <c r="AG18" s="33"/>
      <c r="AH18" s="24">
        <v>0</v>
      </c>
      <c r="AI18" s="17">
        <f t="shared" si="17"/>
        <v>0</v>
      </c>
      <c r="AJ18" s="26"/>
    </row>
    <row r="19" spans="1:36" x14ac:dyDescent="0.25">
      <c r="A19" s="33"/>
      <c r="B19" s="24">
        <v>0</v>
      </c>
      <c r="C19" s="17">
        <f t="shared" si="11"/>
        <v>0</v>
      </c>
      <c r="D19" s="26"/>
      <c r="E19" s="33"/>
      <c r="F19" s="24">
        <v>0</v>
      </c>
      <c r="G19" s="17">
        <f t="shared" si="9"/>
        <v>0</v>
      </c>
      <c r="H19" s="26"/>
      <c r="I19" s="33"/>
      <c r="J19" s="24">
        <v>0</v>
      </c>
      <c r="K19" s="17">
        <f t="shared" si="12"/>
        <v>0</v>
      </c>
      <c r="L19" s="26"/>
      <c r="M19" s="33"/>
      <c r="N19" s="24">
        <v>0</v>
      </c>
      <c r="O19" s="17">
        <f t="shared" si="10"/>
        <v>0</v>
      </c>
      <c r="P19" s="26"/>
      <c r="Q19" s="33"/>
      <c r="R19" s="24">
        <v>0</v>
      </c>
      <c r="S19" s="17">
        <f t="shared" si="13"/>
        <v>0</v>
      </c>
      <c r="T19" s="26"/>
      <c r="U19" s="33"/>
      <c r="V19" s="24">
        <v>0</v>
      </c>
      <c r="W19" s="17">
        <f t="shared" si="14"/>
        <v>0</v>
      </c>
      <c r="X19" s="26"/>
      <c r="Y19" s="33"/>
      <c r="Z19" s="24">
        <v>0</v>
      </c>
      <c r="AA19" s="17">
        <f t="shared" si="15"/>
        <v>0</v>
      </c>
      <c r="AB19" s="26"/>
      <c r="AC19" s="33"/>
      <c r="AD19" s="24">
        <v>0</v>
      </c>
      <c r="AE19" s="17">
        <f t="shared" si="16"/>
        <v>0</v>
      </c>
      <c r="AF19" s="26"/>
      <c r="AG19" s="33"/>
      <c r="AH19" s="24">
        <v>0</v>
      </c>
      <c r="AI19" s="17">
        <f t="shared" si="17"/>
        <v>0</v>
      </c>
      <c r="AJ19" s="26"/>
    </row>
    <row r="20" spans="1:36" x14ac:dyDescent="0.25">
      <c r="A20" s="33"/>
      <c r="B20" s="24">
        <v>0</v>
      </c>
      <c r="C20" s="17">
        <f t="shared" si="11"/>
        <v>0</v>
      </c>
      <c r="D20" s="26"/>
      <c r="E20" s="33"/>
      <c r="F20" s="24">
        <v>0</v>
      </c>
      <c r="G20" s="17">
        <f t="shared" si="9"/>
        <v>0</v>
      </c>
      <c r="H20" s="26"/>
      <c r="I20" s="33"/>
      <c r="J20" s="24">
        <v>0</v>
      </c>
      <c r="K20" s="17">
        <f t="shared" si="12"/>
        <v>0</v>
      </c>
      <c r="L20" s="26"/>
      <c r="M20" s="33"/>
      <c r="N20" s="24">
        <v>0</v>
      </c>
      <c r="O20" s="17">
        <f t="shared" si="10"/>
        <v>0</v>
      </c>
      <c r="P20" s="26"/>
      <c r="Q20" s="33"/>
      <c r="R20" s="24">
        <v>0</v>
      </c>
      <c r="S20" s="17">
        <f t="shared" si="13"/>
        <v>0</v>
      </c>
      <c r="T20" s="26"/>
      <c r="U20" s="33"/>
      <c r="V20" s="24">
        <v>0</v>
      </c>
      <c r="W20" s="17">
        <f t="shared" si="14"/>
        <v>0</v>
      </c>
      <c r="X20" s="26"/>
      <c r="Y20" s="33"/>
      <c r="Z20" s="24">
        <v>0</v>
      </c>
      <c r="AA20" s="17">
        <f t="shared" si="15"/>
        <v>0</v>
      </c>
      <c r="AB20" s="26"/>
      <c r="AC20" s="33"/>
      <c r="AD20" s="24">
        <v>0</v>
      </c>
      <c r="AE20" s="17">
        <f t="shared" si="16"/>
        <v>0</v>
      </c>
      <c r="AF20" s="26"/>
      <c r="AG20" s="33"/>
      <c r="AH20" s="24">
        <v>0</v>
      </c>
      <c r="AI20" s="17">
        <f t="shared" si="17"/>
        <v>0</v>
      </c>
      <c r="AJ20" s="26"/>
    </row>
    <row r="21" spans="1:36" x14ac:dyDescent="0.25">
      <c r="A21" s="33"/>
      <c r="B21" s="24">
        <v>0</v>
      </c>
      <c r="C21" s="17">
        <f t="shared" si="11"/>
        <v>0</v>
      </c>
      <c r="D21" s="26"/>
      <c r="E21" s="33"/>
      <c r="F21" s="24">
        <v>0</v>
      </c>
      <c r="G21" s="17">
        <f t="shared" si="9"/>
        <v>0</v>
      </c>
      <c r="H21" s="26"/>
      <c r="I21" s="33"/>
      <c r="J21" s="24">
        <v>0</v>
      </c>
      <c r="K21" s="17">
        <f t="shared" si="12"/>
        <v>0</v>
      </c>
      <c r="L21" s="26"/>
      <c r="M21" s="33"/>
      <c r="N21" s="24">
        <v>0</v>
      </c>
      <c r="O21" s="17">
        <f t="shared" si="10"/>
        <v>0</v>
      </c>
      <c r="P21" s="26"/>
      <c r="Q21" s="33"/>
      <c r="R21" s="24">
        <v>0</v>
      </c>
      <c r="S21" s="17">
        <f t="shared" si="13"/>
        <v>0</v>
      </c>
      <c r="T21" s="26"/>
      <c r="U21" s="33"/>
      <c r="V21" s="24">
        <v>0</v>
      </c>
      <c r="W21" s="17">
        <f t="shared" si="14"/>
        <v>0</v>
      </c>
      <c r="X21" s="26"/>
      <c r="Y21" s="33"/>
      <c r="Z21" s="24">
        <v>0</v>
      </c>
      <c r="AA21" s="17">
        <f t="shared" si="15"/>
        <v>0</v>
      </c>
      <c r="AB21" s="26"/>
      <c r="AC21" s="33"/>
      <c r="AD21" s="24">
        <v>0</v>
      </c>
      <c r="AE21" s="17">
        <f t="shared" si="16"/>
        <v>0</v>
      </c>
      <c r="AF21" s="26"/>
      <c r="AG21" s="33"/>
      <c r="AH21" s="24">
        <v>0</v>
      </c>
      <c r="AI21" s="17">
        <f t="shared" si="17"/>
        <v>0</v>
      </c>
      <c r="AJ21" s="26"/>
    </row>
    <row r="22" spans="1:36" x14ac:dyDescent="0.25">
      <c r="A22" s="16"/>
      <c r="B22" s="27" t="s">
        <v>10</v>
      </c>
      <c r="C22" s="17">
        <f>SUM(C12:C21)</f>
        <v>0</v>
      </c>
      <c r="D22" s="26"/>
      <c r="E22" s="16"/>
      <c r="F22" s="27" t="s">
        <v>10</v>
      </c>
      <c r="G22" s="17">
        <f>SUM(G12:G21)</f>
        <v>0</v>
      </c>
      <c r="H22" s="26"/>
      <c r="I22" s="16"/>
      <c r="J22" s="27" t="s">
        <v>10</v>
      </c>
      <c r="K22" s="17">
        <f>SUM(K12:K21)</f>
        <v>0</v>
      </c>
      <c r="L22" s="26"/>
      <c r="M22" s="16"/>
      <c r="N22" s="27" t="s">
        <v>10</v>
      </c>
      <c r="O22" s="17">
        <f>SUM(O12:O21)</f>
        <v>0</v>
      </c>
      <c r="P22" s="26"/>
      <c r="Q22" s="16"/>
      <c r="R22" s="27" t="s">
        <v>10</v>
      </c>
      <c r="S22" s="17">
        <f>SUM(S12:S21)</f>
        <v>0</v>
      </c>
      <c r="T22" s="26"/>
      <c r="U22" s="16"/>
      <c r="V22" s="27" t="s">
        <v>10</v>
      </c>
      <c r="W22" s="17">
        <f>SUM(W12:W21)</f>
        <v>0</v>
      </c>
      <c r="X22" s="26"/>
      <c r="Y22" s="16"/>
      <c r="Z22" s="27" t="s">
        <v>10</v>
      </c>
      <c r="AA22" s="17">
        <f>SUM(AA12:AA21)</f>
        <v>0</v>
      </c>
      <c r="AB22" s="26"/>
      <c r="AC22" s="16"/>
      <c r="AD22" s="27" t="s">
        <v>10</v>
      </c>
      <c r="AE22" s="17">
        <f>SUM(AE12:AE21)</f>
        <v>0</v>
      </c>
      <c r="AF22" s="26"/>
      <c r="AG22" s="16"/>
      <c r="AH22" s="27" t="s">
        <v>10</v>
      </c>
      <c r="AI22" s="17">
        <f>SUM(AI12:AI21)</f>
        <v>0</v>
      </c>
      <c r="AJ22" s="26"/>
    </row>
    <row r="23" spans="1:36" x14ac:dyDescent="0.25">
      <c r="A23" s="66" t="s">
        <v>12</v>
      </c>
      <c r="B23" s="66"/>
      <c r="C23" s="34">
        <v>0</v>
      </c>
      <c r="D23" s="26"/>
      <c r="E23" s="66" t="s">
        <v>12</v>
      </c>
      <c r="F23" s="66"/>
      <c r="G23" s="34">
        <v>0</v>
      </c>
      <c r="H23" s="26"/>
      <c r="I23" s="66" t="s">
        <v>12</v>
      </c>
      <c r="J23" s="66"/>
      <c r="K23" s="34">
        <v>0</v>
      </c>
      <c r="L23" s="26"/>
      <c r="M23" s="66" t="s">
        <v>12</v>
      </c>
      <c r="N23" s="66"/>
      <c r="O23" s="34">
        <v>0</v>
      </c>
      <c r="P23" s="26"/>
      <c r="Q23" s="66" t="s">
        <v>12</v>
      </c>
      <c r="R23" s="66"/>
      <c r="S23" s="34">
        <v>0</v>
      </c>
      <c r="T23" s="26"/>
      <c r="U23" s="66" t="s">
        <v>12</v>
      </c>
      <c r="V23" s="66"/>
      <c r="W23" s="34">
        <v>0</v>
      </c>
      <c r="X23" s="26"/>
      <c r="Y23" s="66" t="s">
        <v>12</v>
      </c>
      <c r="Z23" s="66"/>
      <c r="AA23" s="34">
        <v>0</v>
      </c>
      <c r="AB23" s="26"/>
      <c r="AC23" s="66" t="s">
        <v>12</v>
      </c>
      <c r="AD23" s="66"/>
      <c r="AE23" s="34">
        <v>0</v>
      </c>
      <c r="AF23" s="26"/>
      <c r="AG23" s="66" t="s">
        <v>12</v>
      </c>
      <c r="AH23" s="66"/>
      <c r="AI23" s="34">
        <v>0</v>
      </c>
      <c r="AJ23" s="26"/>
    </row>
    <row r="24" spans="1:36" x14ac:dyDescent="0.25">
      <c r="A24" s="65" t="s">
        <v>36</v>
      </c>
      <c r="B24" s="65"/>
      <c r="C24" s="19">
        <f>+C32*13.25</f>
        <v>0</v>
      </c>
      <c r="D24" s="26"/>
      <c r="E24" s="65" t="s">
        <v>36</v>
      </c>
      <c r="F24" s="65"/>
      <c r="G24" s="19">
        <f>+G32*13.25</f>
        <v>0</v>
      </c>
      <c r="H24" s="26"/>
      <c r="I24" s="65" t="s">
        <v>36</v>
      </c>
      <c r="J24" s="65"/>
      <c r="K24" s="19">
        <f>+K32*13.25</f>
        <v>0</v>
      </c>
      <c r="L24" s="26"/>
      <c r="M24" s="65" t="s">
        <v>36</v>
      </c>
      <c r="N24" s="65"/>
      <c r="O24" s="19">
        <f>+O32*13.25</f>
        <v>0</v>
      </c>
      <c r="P24" s="26"/>
      <c r="Q24" s="65" t="s">
        <v>36</v>
      </c>
      <c r="R24" s="65"/>
      <c r="S24" s="19">
        <f>+S32*13.25</f>
        <v>0</v>
      </c>
      <c r="T24" s="26"/>
      <c r="U24" s="65" t="s">
        <v>36</v>
      </c>
      <c r="V24" s="65"/>
      <c r="W24" s="19">
        <f>+W32*13.25</f>
        <v>0</v>
      </c>
      <c r="X24" s="26"/>
      <c r="Y24" s="65" t="s">
        <v>36</v>
      </c>
      <c r="Z24" s="65"/>
      <c r="AA24" s="19">
        <f>+AA32*13.25</f>
        <v>0</v>
      </c>
      <c r="AB24" s="26"/>
      <c r="AC24" s="65" t="s">
        <v>36</v>
      </c>
      <c r="AD24" s="65"/>
      <c r="AE24" s="19">
        <f>+AE32*13.25</f>
        <v>0</v>
      </c>
      <c r="AF24" s="26"/>
      <c r="AG24" s="65" t="s">
        <v>36</v>
      </c>
      <c r="AH24" s="65"/>
      <c r="AI24" s="19">
        <f>+AI32*13.25</f>
        <v>0</v>
      </c>
      <c r="AJ24" s="26"/>
    </row>
    <row r="25" spans="1:36" x14ac:dyDescent="0.25">
      <c r="A25" s="65" t="s">
        <v>14</v>
      </c>
      <c r="B25" s="65"/>
      <c r="C25" s="19">
        <f>'1'!G27+'2'!G27+'3'!G27+'4'!G27+'5'!G27+'6'!G27+'7'!G27+'8'!G27+'9'!G27+'10'!G27+'11'!G27+'12'!G27+'13'!G27+'14'!G27+'15'!G27+'16'!G27+'17'!G27+'18'!G27+'19'!G27+'20'!G27</f>
        <v>0</v>
      </c>
      <c r="D25" s="26"/>
      <c r="E25" s="65" t="s">
        <v>14</v>
      </c>
      <c r="F25" s="65"/>
      <c r="G25" s="19">
        <f>'1'!G27+'2'!G27+'3'!G27+'4'!G27+'5'!G27+'6'!G27+'7'!G27+'8'!G27+'9'!G27+'10'!G27+'11'!G27+'12'!G27+'13'!G27+'14'!G27+'15'!G27+'16'!G27+'17'!G27+'18'!G27+'19'!G27+'20'!G27</f>
        <v>0</v>
      </c>
      <c r="H25" s="26"/>
      <c r="I25" s="65" t="s">
        <v>14</v>
      </c>
      <c r="J25" s="65"/>
      <c r="K25" s="19">
        <f>'1'!G27+'2'!G27+'3'!G27+'4'!G27+'5'!G27+'6'!G27+'7'!G27+'8'!G27+'9'!G27+'10'!G27+'11'!G27+'12'!G27+'13'!G27+'14'!G27+'15'!G27+'16'!G27+'17'!G27+'18'!G27+'19'!G27+'20'!G27</f>
        <v>0</v>
      </c>
      <c r="L25" s="26"/>
      <c r="M25" s="65" t="s">
        <v>14</v>
      </c>
      <c r="N25" s="65"/>
      <c r="O25" s="19">
        <f>'1'!G27+'2'!G27+'3'!G27+'4'!G27+'5'!G27+'6'!G27+'7'!G27+'8'!G27+'9'!G27+'10'!G27+'11'!G27+'12'!G27+'13'!G27+'14'!G27+'15'!G27+'16'!G27+'17'!G27+'18'!G27+'19'!G27+'20'!G27</f>
        <v>0</v>
      </c>
      <c r="P25" s="26"/>
      <c r="Q25" s="65" t="s">
        <v>14</v>
      </c>
      <c r="R25" s="65"/>
      <c r="S25" s="19">
        <f>'1'!G27+'2'!G27+'3'!G27+'4'!G27+'5'!G27+'6'!G27+'7'!G27+'8'!G27+'9'!G27+'10'!G27+'11'!G27+'12'!G27+'13'!G27+'14'!G27+'15'!G27+'16'!G27+'17'!G27+'18'!G27+'19'!G27+'20'!G27</f>
        <v>0</v>
      </c>
      <c r="T25" s="26"/>
      <c r="U25" s="65" t="s">
        <v>14</v>
      </c>
      <c r="V25" s="65"/>
      <c r="W25" s="19">
        <f>'1'!G27+'2'!G27+'3'!G27+'4'!G27+'5'!G27+'6'!G27+'7'!G27+'8'!G27+'9'!G27+'10'!G27+'11'!G27+'12'!G27+'13'!G27+'14'!G27+'15'!G27+'16'!G27+'17'!G27+'18'!G27+'19'!G27+'20'!G27</f>
        <v>0</v>
      </c>
      <c r="X25" s="26"/>
      <c r="Y25" s="65" t="s">
        <v>14</v>
      </c>
      <c r="Z25" s="65"/>
      <c r="AA25" s="19">
        <f>'1'!G27+'2'!G27+'3'!G27+'4'!G27+'5'!G27+'6'!G27+'7'!G27+'8'!G27+'9'!G27+'10'!G27+'11'!G27+'12'!G27+'13'!G27+'14'!G27+'15'!G27+'16'!G27+'17'!G27+'18'!G27+'19'!G27+'20'!G27</f>
        <v>0</v>
      </c>
      <c r="AB25" s="26"/>
      <c r="AC25" s="65" t="s">
        <v>14</v>
      </c>
      <c r="AD25" s="65"/>
      <c r="AE25" s="19">
        <f>'1'!G27+'2'!G27+'3'!G27+'4'!G27+'5'!G27+'6'!G27+'7'!G27+'8'!G27+'9'!G27+'10'!G27+'11'!G27+'12'!G27+'13'!G27+'14'!G27+'15'!G27+'16'!G27+'17'!G27+'18'!G27+'19'!G27+'20'!G27</f>
        <v>0</v>
      </c>
      <c r="AF25" s="26"/>
      <c r="AG25" s="65" t="s">
        <v>14</v>
      </c>
      <c r="AH25" s="65"/>
      <c r="AI25" s="19">
        <f>'1'!G27+'2'!G27+'3'!G27+'4'!G27+'5'!G27+'6'!G27+'7'!G27+'8'!G27+'9'!G27+'10'!G27+'11'!G27+'12'!G27+'13'!G27+'14'!G27+'15'!G27+'16'!G27+'17'!G27+'18'!G27+'19'!G27+'20'!G27</f>
        <v>0</v>
      </c>
      <c r="AJ25" s="26"/>
    </row>
    <row r="26" spans="1:36" x14ac:dyDescent="0.25">
      <c r="A26" s="65" t="s">
        <v>15</v>
      </c>
      <c r="B26" s="65"/>
      <c r="C26" s="20">
        <f>+C10+C22+C23+C25</f>
        <v>0</v>
      </c>
      <c r="D26" s="26"/>
      <c r="E26" s="65" t="s">
        <v>15</v>
      </c>
      <c r="F26" s="65"/>
      <c r="G26" s="20">
        <f>+G10+G22+G23+G25</f>
        <v>0</v>
      </c>
      <c r="H26" s="26"/>
      <c r="I26" s="65" t="s">
        <v>15</v>
      </c>
      <c r="J26" s="65"/>
      <c r="K26" s="20">
        <f>+K10+K22+K23+K25</f>
        <v>0</v>
      </c>
      <c r="L26" s="26"/>
      <c r="M26" s="65" t="s">
        <v>15</v>
      </c>
      <c r="N26" s="65"/>
      <c r="O26" s="20">
        <f>+O10+O22+O23+O25</f>
        <v>0</v>
      </c>
      <c r="P26" s="26"/>
      <c r="Q26" s="65" t="s">
        <v>15</v>
      </c>
      <c r="R26" s="65"/>
      <c r="S26" s="20">
        <f>+S10+S22+S23+S25</f>
        <v>0</v>
      </c>
      <c r="T26" s="26"/>
      <c r="U26" s="65" t="s">
        <v>15</v>
      </c>
      <c r="V26" s="65"/>
      <c r="W26" s="20">
        <f>+W10+W22+W23+W25</f>
        <v>0</v>
      </c>
      <c r="X26" s="26"/>
      <c r="Y26" s="65" t="s">
        <v>15</v>
      </c>
      <c r="Z26" s="65"/>
      <c r="AA26" s="20">
        <f>+AA10+AA22+AA23+AA25</f>
        <v>0</v>
      </c>
      <c r="AB26" s="26"/>
      <c r="AC26" s="65" t="s">
        <v>15</v>
      </c>
      <c r="AD26" s="65"/>
      <c r="AE26" s="20">
        <f>+AE10+AE22+AE23+AE25</f>
        <v>0</v>
      </c>
      <c r="AF26" s="26"/>
      <c r="AG26" s="65" t="s">
        <v>15</v>
      </c>
      <c r="AH26" s="65"/>
      <c r="AI26" s="20">
        <f>+AI10+AI22+AI23+AI25</f>
        <v>0</v>
      </c>
      <c r="AJ26" s="26"/>
    </row>
    <row r="27" spans="1:36" ht="6.75" customHeight="1" x14ac:dyDescent="0.25">
      <c r="A27" s="28"/>
      <c r="B27" s="29"/>
      <c r="C27" s="30"/>
      <c r="D27" s="26"/>
      <c r="E27" s="28"/>
      <c r="F27" s="29"/>
      <c r="G27" s="30"/>
      <c r="H27" s="26"/>
      <c r="I27" s="28"/>
      <c r="J27" s="29"/>
      <c r="K27" s="30"/>
      <c r="L27" s="26"/>
      <c r="M27" s="28"/>
      <c r="N27" s="29"/>
      <c r="O27" s="30"/>
      <c r="P27" s="26"/>
      <c r="Q27" s="28"/>
      <c r="R27" s="29"/>
      <c r="S27" s="30"/>
      <c r="T27" s="26"/>
      <c r="U27" s="28"/>
      <c r="V27" s="29"/>
      <c r="W27" s="30"/>
      <c r="X27" s="26"/>
      <c r="Y27" s="28"/>
      <c r="Z27" s="29"/>
      <c r="AA27" s="30"/>
      <c r="AB27" s="26"/>
      <c r="AC27" s="28"/>
      <c r="AD27" s="29"/>
      <c r="AE27" s="30"/>
      <c r="AF27" s="26"/>
      <c r="AG27" s="28"/>
      <c r="AH27" s="29"/>
      <c r="AI27" s="30"/>
      <c r="AJ27" s="26"/>
    </row>
    <row r="28" spans="1:36" x14ac:dyDescent="0.25">
      <c r="A28" s="67" t="str">
        <f>A1</f>
        <v>Week 19</v>
      </c>
      <c r="B28" s="67"/>
      <c r="C28" s="21">
        <f>+'1'!B18+'2'!B18+'3'!B18+'4'!B18+'5'!B18+'6'!B18+'7'!B18+'8'!B18+'9'!B18+'10'!B18+'11'!B18+'12'!B18+'13'!B18+'14'!B18+'15'!B18+'16'!B18+'17'!B18+'18'!B18+'18'!B18+'20'!B18</f>
        <v>0</v>
      </c>
      <c r="D28" s="26"/>
      <c r="E28" s="67" t="str">
        <f>E1</f>
        <v>Week 20</v>
      </c>
      <c r="F28" s="67"/>
      <c r="G28" s="21">
        <f>+'1'!C18+'2'!C18+'3'!C18+'4'!C18+'5'!C18+'6'!C18+'18'!C18+'8'!C18+'9'!C18+'10'!C18+'11'!C18+'12'!C18+'13'!C18+'14'!C18+'15'!C18+'16'!C18+'18'!C18+'18'!C18+'18'!C18+'18'!C18+'20'!C18</f>
        <v>0</v>
      </c>
      <c r="H28" s="26"/>
      <c r="I28" s="67" t="str">
        <f>I1</f>
        <v>Week 21</v>
      </c>
      <c r="J28" s="67"/>
      <c r="K28" s="21">
        <f>+'1'!D18+'2'!D18+'3'!D18+'4'!D18+'5'!D18+'6'!D18+'7'!D18+'8'!D18+'9'!D18+'10'!D18+'11'!D18+'12'!D18+'13'!D18+'14'!D18+'15'!D18+'16'!D18+'18'!D18+'18'!D18+'18'!D18+'20'!D18</f>
        <v>0</v>
      </c>
      <c r="L28" s="26"/>
      <c r="M28" s="67" t="str">
        <f>M1</f>
        <v>Week 22</v>
      </c>
      <c r="N28" s="67"/>
      <c r="O28" s="21">
        <f>+'1'!E18+'2'!E18+'3'!E18+'4'!E18+'5'!E18+'6'!E18+'7'!E18+'8'!E18+'9'!E18+'10'!E18+'11'!E18+'12'!E18+'13'!E18+'14'!E18+'15'!E18+'16'!E18+'18'!E18+'18'!E18+'18'!E18+'20'!E18</f>
        <v>0</v>
      </c>
      <c r="P28" s="26"/>
      <c r="Q28" s="67" t="str">
        <f>Q1</f>
        <v>Week 23</v>
      </c>
      <c r="R28" s="67"/>
      <c r="S28" s="21">
        <f>+'1'!F18+'2'!F18+'3'!F18+'4'!F18+'5'!F18+'6'!F18+'7'!F18+'8'!F18+'9'!F18+'10'!F18+'11'!F18+'12'!F18+'13'!F18+'14'!F18+'15'!F18+'16'!F18+'18'!F18+'18'!F18+'18'!F18+'20'!F18</f>
        <v>0</v>
      </c>
      <c r="T28" s="26"/>
      <c r="U28" s="67" t="str">
        <f>U1</f>
        <v>Week 24</v>
      </c>
      <c r="V28" s="67"/>
      <c r="W28" s="21">
        <f>+'1'!G18+'2'!G18+'3'!G18+'4'!G18+'5'!G18+'6'!G18+'7'!G18+'8'!G18+'9'!G18+'10'!G18+'11'!G18+'12'!G18+'13'!G18+'14'!G18+'15'!G18+'16'!G18+'18'!G18+'18'!G18+'18'!G18+'20'!G18</f>
        <v>0</v>
      </c>
      <c r="X28" s="26"/>
      <c r="Y28" s="67" t="str">
        <f>Y1</f>
        <v>Week 25</v>
      </c>
      <c r="Z28" s="67"/>
      <c r="AA28" s="21">
        <f>+'1'!H18+'2'!H18+'3'!H18+'4'!H18+'5'!H18+'6'!H18+'7'!H18+'8'!H18+'9'!H18+'10'!H18+'11'!H18+'12'!H18+'13'!H18+'14'!H18+'15'!H18+'16'!H18+'18'!H18+'18'!H18+'18'!H18+'20'!H18</f>
        <v>0</v>
      </c>
      <c r="AB28" s="26"/>
      <c r="AC28" s="67" t="str">
        <f>AC1</f>
        <v>Week 26</v>
      </c>
      <c r="AD28" s="67"/>
      <c r="AE28" s="21">
        <f>+'1'!I18+'2'!I18+'3'!I18+'4'!I18+'5'!I18+'6'!I18+'7'!I18+'8'!I18+'9'!I18+'10'!I18+'11'!I18+'12'!I18+'13'!I18+'14'!I18+'15'!I18+'16'!I18+'18'!I18+'18'!I18+'18'!I18+'20'!I18</f>
        <v>0</v>
      </c>
      <c r="AF28" s="26"/>
      <c r="AG28" s="67" t="str">
        <f>AG1</f>
        <v>Week 27</v>
      </c>
      <c r="AH28" s="67"/>
      <c r="AI28" s="21">
        <f>+'1'!J18+'2'!J18+'3'!J18+'4'!J18+'5'!J18+'6'!J18+'7'!J18+'8'!J18+'9'!J18+'10'!J18+'11'!J18+'12'!J18+'13'!J18+'14'!J18+'15'!J18+'16'!J18+'18'!J18+'18'!J18+'18'!J18+'20'!J18</f>
        <v>0</v>
      </c>
      <c r="AJ28" s="26"/>
    </row>
    <row r="29" spans="1:36" x14ac:dyDescent="0.25">
      <c r="A29" s="68" t="s">
        <v>37</v>
      </c>
      <c r="B29" s="68"/>
      <c r="C29" s="21">
        <f>+C26-C28</f>
        <v>0</v>
      </c>
      <c r="D29" s="26"/>
      <c r="E29" s="68" t="s">
        <v>37</v>
      </c>
      <c r="F29" s="68"/>
      <c r="G29" s="21">
        <f>+G26-G28</f>
        <v>0</v>
      </c>
      <c r="H29" s="26"/>
      <c r="I29" s="68" t="s">
        <v>37</v>
      </c>
      <c r="J29" s="68"/>
      <c r="K29" s="21">
        <f>+K26-K28</f>
        <v>0</v>
      </c>
      <c r="L29" s="26"/>
      <c r="M29" s="68" t="s">
        <v>37</v>
      </c>
      <c r="N29" s="68"/>
      <c r="O29" s="21">
        <f>+O26-O28</f>
        <v>0</v>
      </c>
      <c r="P29" s="26"/>
      <c r="Q29" s="68" t="s">
        <v>37</v>
      </c>
      <c r="R29" s="68"/>
      <c r="S29" s="21">
        <f>+S26-S28</f>
        <v>0</v>
      </c>
      <c r="T29" s="26"/>
      <c r="U29" s="68" t="s">
        <v>37</v>
      </c>
      <c r="V29" s="68"/>
      <c r="W29" s="21">
        <f>+W26-W28</f>
        <v>0</v>
      </c>
      <c r="X29" s="26"/>
      <c r="Y29" s="68" t="s">
        <v>37</v>
      </c>
      <c r="Z29" s="68"/>
      <c r="AA29" s="21">
        <f>+AA26-AA28</f>
        <v>0</v>
      </c>
      <c r="AB29" s="26"/>
      <c r="AC29" s="68" t="s">
        <v>37</v>
      </c>
      <c r="AD29" s="68"/>
      <c r="AE29" s="21">
        <f>+AE26-AE28</f>
        <v>0</v>
      </c>
      <c r="AF29" s="26"/>
      <c r="AG29" s="68" t="s">
        <v>37</v>
      </c>
      <c r="AH29" s="68"/>
      <c r="AI29" s="21">
        <f>+AI26-AI28</f>
        <v>0</v>
      </c>
      <c r="AJ29" s="26"/>
    </row>
    <row r="30" spans="1:36" ht="6.75" customHeight="1" x14ac:dyDescent="0.25">
      <c r="A30" s="28"/>
      <c r="B30" s="29"/>
      <c r="C30" s="30"/>
      <c r="D30" s="30"/>
      <c r="E30" s="28"/>
      <c r="F30" s="29"/>
      <c r="G30" s="30"/>
      <c r="H30" s="30"/>
      <c r="I30" s="28"/>
      <c r="J30" s="29"/>
      <c r="K30" s="30"/>
      <c r="L30" s="30"/>
      <c r="M30" s="28"/>
      <c r="N30" s="29"/>
      <c r="O30" s="30"/>
      <c r="P30" s="30"/>
      <c r="Q30" s="28"/>
      <c r="R30" s="29"/>
      <c r="S30" s="30"/>
      <c r="T30" s="30"/>
      <c r="U30" s="28"/>
      <c r="V30" s="29"/>
      <c r="W30" s="30"/>
      <c r="X30" s="30"/>
      <c r="Y30" s="28"/>
      <c r="Z30" s="29"/>
      <c r="AA30" s="30"/>
      <c r="AB30" s="30"/>
      <c r="AC30" s="28"/>
      <c r="AD30" s="29"/>
      <c r="AE30" s="30"/>
      <c r="AF30" s="30"/>
      <c r="AG30" s="28"/>
      <c r="AH30" s="29"/>
      <c r="AI30" s="30"/>
      <c r="AJ30" s="30"/>
    </row>
    <row r="31" spans="1:36" ht="15.75" thickBot="1" x14ac:dyDescent="0.3"/>
    <row r="32" spans="1:36" ht="15.75" thickBot="1" x14ac:dyDescent="0.3">
      <c r="A32" s="63" t="s">
        <v>17</v>
      </c>
      <c r="B32" s="64"/>
      <c r="C32" s="39"/>
      <c r="E32" s="63" t="s">
        <v>17</v>
      </c>
      <c r="F32" s="64"/>
      <c r="G32" s="39"/>
      <c r="I32" s="63" t="s">
        <v>17</v>
      </c>
      <c r="J32" s="64"/>
      <c r="K32" s="39"/>
      <c r="M32" s="63" t="s">
        <v>17</v>
      </c>
      <c r="N32" s="64"/>
      <c r="O32" s="39"/>
      <c r="Q32" s="63" t="s">
        <v>17</v>
      </c>
      <c r="R32" s="64"/>
      <c r="S32" s="39"/>
      <c r="U32" s="63" t="s">
        <v>17</v>
      </c>
      <c r="V32" s="64"/>
      <c r="W32" s="39"/>
      <c r="Y32" s="63" t="s">
        <v>17</v>
      </c>
      <c r="Z32" s="64"/>
      <c r="AA32" s="39"/>
      <c r="AC32" s="63" t="s">
        <v>17</v>
      </c>
      <c r="AD32" s="64"/>
      <c r="AE32" s="39"/>
      <c r="AG32" s="63" t="s">
        <v>17</v>
      </c>
      <c r="AH32" s="64"/>
      <c r="AI32" s="39"/>
    </row>
  </sheetData>
  <mergeCells count="90">
    <mergeCell ref="Y1:AA1"/>
    <mergeCell ref="AC1:AE1"/>
    <mergeCell ref="AG1:AI1"/>
    <mergeCell ref="A2:C2"/>
    <mergeCell ref="E2:G2"/>
    <mergeCell ref="I2:K2"/>
    <mergeCell ref="M2:O2"/>
    <mergeCell ref="Q2:S2"/>
    <mergeCell ref="U2:W2"/>
    <mergeCell ref="Y2:AA2"/>
    <mergeCell ref="A1:C1"/>
    <mergeCell ref="E1:G1"/>
    <mergeCell ref="I1:K1"/>
    <mergeCell ref="M1:O1"/>
    <mergeCell ref="Q1:S1"/>
    <mergeCell ref="U1:W1"/>
    <mergeCell ref="AC2:AE2"/>
    <mergeCell ref="AG2:AI2"/>
    <mergeCell ref="A11:C11"/>
    <mergeCell ref="E11:G11"/>
    <mergeCell ref="I11:K11"/>
    <mergeCell ref="M11:O11"/>
    <mergeCell ref="Q11:S11"/>
    <mergeCell ref="U11:W11"/>
    <mergeCell ref="Y11:AA11"/>
    <mergeCell ref="AC11:AE11"/>
    <mergeCell ref="AG11:AI11"/>
    <mergeCell ref="A23:B23"/>
    <mergeCell ref="E23:F23"/>
    <mergeCell ref="I23:J23"/>
    <mergeCell ref="M23:N23"/>
    <mergeCell ref="Q23:R23"/>
    <mergeCell ref="U23:V23"/>
    <mergeCell ref="Y23:Z23"/>
    <mergeCell ref="AC23:AD23"/>
    <mergeCell ref="AG23:AH23"/>
    <mergeCell ref="Y24:Z24"/>
    <mergeCell ref="AC24:AD24"/>
    <mergeCell ref="AG24:AH24"/>
    <mergeCell ref="U24:V24"/>
    <mergeCell ref="A25:B25"/>
    <mergeCell ref="E25:F25"/>
    <mergeCell ref="I25:J25"/>
    <mergeCell ref="M25:N25"/>
    <mergeCell ref="Q25:R25"/>
    <mergeCell ref="A24:B24"/>
    <mergeCell ref="E24:F24"/>
    <mergeCell ref="I24:J24"/>
    <mergeCell ref="M24:N24"/>
    <mergeCell ref="Q24:R24"/>
    <mergeCell ref="U28:V28"/>
    <mergeCell ref="Y28:Z28"/>
    <mergeCell ref="AC28:AD28"/>
    <mergeCell ref="AG28:AH28"/>
    <mergeCell ref="AC25:AD25"/>
    <mergeCell ref="AG25:AH25"/>
    <mergeCell ref="U25:V25"/>
    <mergeCell ref="Y25:Z25"/>
    <mergeCell ref="Y32:Z32"/>
    <mergeCell ref="AC32:AD32"/>
    <mergeCell ref="AG32:AH32"/>
    <mergeCell ref="A26:B26"/>
    <mergeCell ref="E26:F26"/>
    <mergeCell ref="I26:J26"/>
    <mergeCell ref="M26:N26"/>
    <mergeCell ref="Q26:R26"/>
    <mergeCell ref="U26:V26"/>
    <mergeCell ref="Y26:Z26"/>
    <mergeCell ref="A32:B32"/>
    <mergeCell ref="E32:F32"/>
    <mergeCell ref="I32:J32"/>
    <mergeCell ref="M32:N32"/>
    <mergeCell ref="Q32:R32"/>
    <mergeCell ref="U32:V32"/>
    <mergeCell ref="AG29:AH29"/>
    <mergeCell ref="AC26:AD26"/>
    <mergeCell ref="AG26:AH26"/>
    <mergeCell ref="A29:B29"/>
    <mergeCell ref="E29:F29"/>
    <mergeCell ref="I29:J29"/>
    <mergeCell ref="M29:N29"/>
    <mergeCell ref="Q29:R29"/>
    <mergeCell ref="U29:V29"/>
    <mergeCell ref="Y29:Z29"/>
    <mergeCell ref="AC29:AD29"/>
    <mergeCell ref="A28:B28"/>
    <mergeCell ref="E28:F28"/>
    <mergeCell ref="I28:J28"/>
    <mergeCell ref="M28:N28"/>
    <mergeCell ref="Q28:R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4576-D7C3-45F1-8DA4-4CD4609D7524}">
  <sheetPr codeName="Sheet4"/>
  <dimension ref="A1:AJ32"/>
  <sheetViews>
    <sheetView workbookViewId="0">
      <selection activeCell="AG2" sqref="AG2:AI2"/>
    </sheetView>
  </sheetViews>
  <sheetFormatPr defaultRowHeight="15" x14ac:dyDescent="0.25"/>
  <cols>
    <col min="1" max="1" width="7.42578125" style="31" customWidth="1"/>
    <col min="2" max="2" width="7.42578125" customWidth="1"/>
    <col min="3" max="3" width="12.28515625" style="20" customWidth="1"/>
    <col min="4" max="4" width="1.7109375" style="20" customWidth="1"/>
    <col min="5" max="5" width="7.42578125" style="31" customWidth="1"/>
    <col min="6" max="6" width="7.42578125" customWidth="1"/>
    <col min="7" max="7" width="12.28515625" style="20" customWidth="1"/>
    <col min="8" max="8" width="1.7109375" style="20" customWidth="1"/>
    <col min="9" max="9" width="7.42578125" style="31" customWidth="1"/>
    <col min="10" max="10" width="7.42578125" customWidth="1"/>
    <col min="11" max="11" width="12.28515625" style="20" customWidth="1"/>
    <col min="12" max="12" width="1.7109375" style="20" customWidth="1"/>
    <col min="13" max="13" width="7.42578125" style="31" customWidth="1"/>
    <col min="14" max="14" width="7.42578125" customWidth="1"/>
    <col min="15" max="15" width="12.28515625" style="20" customWidth="1"/>
    <col min="16" max="16" width="1.7109375" style="20" customWidth="1"/>
    <col min="17" max="17" width="7.42578125" style="31" customWidth="1"/>
    <col min="18" max="18" width="7.42578125" customWidth="1"/>
    <col min="19" max="19" width="12.28515625" style="20" customWidth="1"/>
    <col min="20" max="20" width="1.7109375" style="20" customWidth="1"/>
    <col min="21" max="21" width="7.42578125" style="31" customWidth="1"/>
    <col min="22" max="22" width="7.42578125" customWidth="1"/>
    <col min="23" max="23" width="12.28515625" style="20" customWidth="1"/>
    <col min="24" max="24" width="1.7109375" style="20" customWidth="1"/>
    <col min="25" max="25" width="7.42578125" style="31" customWidth="1"/>
    <col min="26" max="26" width="7.42578125" customWidth="1"/>
    <col min="27" max="27" width="12.28515625" style="20" customWidth="1"/>
    <col min="28" max="28" width="1.7109375" style="20" customWidth="1"/>
    <col min="29" max="29" width="7.42578125" style="31" customWidth="1"/>
    <col min="30" max="30" width="7.42578125" customWidth="1"/>
    <col min="31" max="31" width="12.28515625" style="20" customWidth="1"/>
    <col min="32" max="32" width="1.7109375" style="20" customWidth="1"/>
    <col min="33" max="33" width="7.42578125" style="31" customWidth="1"/>
    <col min="34" max="34" width="7.42578125" customWidth="1"/>
    <col min="35" max="35" width="12.28515625" style="20" customWidth="1"/>
    <col min="36" max="36" width="1.7109375" style="20" customWidth="1"/>
  </cols>
  <sheetData>
    <row r="1" spans="1:36" x14ac:dyDescent="0.25">
      <c r="A1" s="69" t="s">
        <v>135</v>
      </c>
      <c r="B1" s="70"/>
      <c r="C1" s="70"/>
      <c r="D1" s="25"/>
      <c r="E1" s="69" t="s">
        <v>136</v>
      </c>
      <c r="F1" s="70"/>
      <c r="G1" s="70"/>
      <c r="H1" s="25"/>
      <c r="I1" s="69" t="s">
        <v>137</v>
      </c>
      <c r="J1" s="70"/>
      <c r="K1" s="70"/>
      <c r="L1" s="25"/>
      <c r="M1" s="69" t="s">
        <v>138</v>
      </c>
      <c r="N1" s="70"/>
      <c r="O1" s="70"/>
      <c r="P1" s="25"/>
      <c r="Q1" s="69" t="s">
        <v>139</v>
      </c>
      <c r="R1" s="70"/>
      <c r="S1" s="70"/>
      <c r="T1" s="25"/>
      <c r="U1" s="69" t="s">
        <v>140</v>
      </c>
      <c r="V1" s="70"/>
      <c r="W1" s="70"/>
      <c r="X1" s="25"/>
      <c r="Y1" s="69" t="s">
        <v>141</v>
      </c>
      <c r="Z1" s="70"/>
      <c r="AA1" s="70"/>
      <c r="AB1" s="25"/>
      <c r="AC1" s="69" t="s">
        <v>142</v>
      </c>
      <c r="AD1" s="70"/>
      <c r="AE1" s="70"/>
      <c r="AF1" s="25"/>
      <c r="AG1" s="69" t="s">
        <v>143</v>
      </c>
      <c r="AH1" s="70"/>
      <c r="AI1" s="70"/>
      <c r="AJ1" s="25"/>
    </row>
    <row r="2" spans="1:36" x14ac:dyDescent="0.25">
      <c r="A2" s="71" t="s">
        <v>9</v>
      </c>
      <c r="B2" s="72"/>
      <c r="C2" s="72"/>
      <c r="D2" s="25"/>
      <c r="E2" s="71" t="s">
        <v>9</v>
      </c>
      <c r="F2" s="72"/>
      <c r="G2" s="72"/>
      <c r="H2" s="25"/>
      <c r="I2" s="71" t="s">
        <v>9</v>
      </c>
      <c r="J2" s="72"/>
      <c r="K2" s="72"/>
      <c r="L2" s="25"/>
      <c r="M2" s="71" t="s">
        <v>9</v>
      </c>
      <c r="N2" s="72"/>
      <c r="O2" s="72"/>
      <c r="P2" s="25"/>
      <c r="Q2" s="71" t="s">
        <v>9</v>
      </c>
      <c r="R2" s="72"/>
      <c r="S2" s="72"/>
      <c r="T2" s="25"/>
      <c r="U2" s="71" t="s">
        <v>9</v>
      </c>
      <c r="V2" s="72"/>
      <c r="W2" s="72"/>
      <c r="X2" s="25"/>
      <c r="Y2" s="71" t="s">
        <v>9</v>
      </c>
      <c r="Z2" s="72"/>
      <c r="AA2" s="72"/>
      <c r="AB2" s="25"/>
      <c r="AC2" s="71" t="s">
        <v>9</v>
      </c>
      <c r="AD2" s="72"/>
      <c r="AE2" s="72"/>
      <c r="AF2" s="25"/>
      <c r="AG2" s="71" t="s">
        <v>9</v>
      </c>
      <c r="AH2" s="72"/>
      <c r="AI2" s="72"/>
      <c r="AJ2" s="25"/>
    </row>
    <row r="3" spans="1:36" x14ac:dyDescent="0.25">
      <c r="A3" s="16">
        <v>1</v>
      </c>
      <c r="B3" s="24">
        <v>0</v>
      </c>
      <c r="C3" s="17">
        <f>+A3*B3</f>
        <v>0</v>
      </c>
      <c r="D3" s="26"/>
      <c r="E3" s="16">
        <v>1</v>
      </c>
      <c r="F3" s="24">
        <v>0</v>
      </c>
      <c r="G3" s="17">
        <f>+E3*F3</f>
        <v>0</v>
      </c>
      <c r="H3" s="26"/>
      <c r="I3" s="16">
        <v>1</v>
      </c>
      <c r="J3" s="24">
        <v>0</v>
      </c>
      <c r="K3" s="17">
        <f>+I3*J3</f>
        <v>0</v>
      </c>
      <c r="L3" s="26"/>
      <c r="M3" s="16">
        <v>1</v>
      </c>
      <c r="N3" s="24">
        <v>0</v>
      </c>
      <c r="O3" s="17">
        <f>+M3*N3</f>
        <v>0</v>
      </c>
      <c r="P3" s="26"/>
      <c r="Q3" s="16">
        <v>1</v>
      </c>
      <c r="R3" s="24">
        <v>0</v>
      </c>
      <c r="S3" s="17">
        <f>+Q3*R3</f>
        <v>0</v>
      </c>
      <c r="T3" s="26"/>
      <c r="U3" s="16">
        <v>1</v>
      </c>
      <c r="V3" s="24">
        <v>0</v>
      </c>
      <c r="W3" s="17">
        <f>+U3*V3</f>
        <v>0</v>
      </c>
      <c r="X3" s="26"/>
      <c r="Y3" s="16">
        <v>1</v>
      </c>
      <c r="Z3" s="24">
        <v>0</v>
      </c>
      <c r="AA3" s="17">
        <f>+Y3*Z3</f>
        <v>0</v>
      </c>
      <c r="AB3" s="26"/>
      <c r="AC3" s="16">
        <v>1</v>
      </c>
      <c r="AD3" s="24">
        <v>0</v>
      </c>
      <c r="AE3" s="17">
        <f>+AC3*AD3</f>
        <v>0</v>
      </c>
      <c r="AF3" s="26"/>
      <c r="AG3" s="16">
        <v>1</v>
      </c>
      <c r="AH3" s="24">
        <v>0</v>
      </c>
      <c r="AI3" s="17">
        <f>+AG3*AH3</f>
        <v>0</v>
      </c>
      <c r="AJ3" s="26"/>
    </row>
    <row r="4" spans="1:36" x14ac:dyDescent="0.25">
      <c r="A4" s="16">
        <v>5</v>
      </c>
      <c r="B4" s="24">
        <v>0</v>
      </c>
      <c r="C4" s="17">
        <f t="shared" ref="C4:C9" si="0">+A4*B4</f>
        <v>0</v>
      </c>
      <c r="D4" s="26"/>
      <c r="E4" s="16">
        <v>5</v>
      </c>
      <c r="F4" s="24">
        <v>0</v>
      </c>
      <c r="G4" s="17">
        <f t="shared" ref="G4:G9" si="1">+E4*F4</f>
        <v>0</v>
      </c>
      <c r="H4" s="26"/>
      <c r="I4" s="16">
        <v>5</v>
      </c>
      <c r="J4" s="24">
        <v>0</v>
      </c>
      <c r="K4" s="17">
        <f t="shared" ref="K4:K9" si="2">+I4*J4</f>
        <v>0</v>
      </c>
      <c r="L4" s="26"/>
      <c r="M4" s="16">
        <v>5</v>
      </c>
      <c r="N4" s="24">
        <v>0</v>
      </c>
      <c r="O4" s="17">
        <f t="shared" ref="O4:O9" si="3">+M4*N4</f>
        <v>0</v>
      </c>
      <c r="P4" s="26"/>
      <c r="Q4" s="16">
        <v>5</v>
      </c>
      <c r="R4" s="24">
        <v>0</v>
      </c>
      <c r="S4" s="17">
        <f t="shared" ref="S4:S9" si="4">+Q4*R4</f>
        <v>0</v>
      </c>
      <c r="T4" s="26"/>
      <c r="U4" s="16">
        <v>5</v>
      </c>
      <c r="V4" s="24">
        <v>0</v>
      </c>
      <c r="W4" s="17">
        <f t="shared" ref="W4:W9" si="5">+U4*V4</f>
        <v>0</v>
      </c>
      <c r="X4" s="26"/>
      <c r="Y4" s="16">
        <v>5</v>
      </c>
      <c r="Z4" s="24">
        <v>0</v>
      </c>
      <c r="AA4" s="17">
        <f t="shared" ref="AA4:AA9" si="6">+Y4*Z4</f>
        <v>0</v>
      </c>
      <c r="AB4" s="26"/>
      <c r="AC4" s="16">
        <v>5</v>
      </c>
      <c r="AD4" s="24">
        <v>0</v>
      </c>
      <c r="AE4" s="17">
        <f t="shared" ref="AE4:AE9" si="7">+AC4*AD4</f>
        <v>0</v>
      </c>
      <c r="AF4" s="26"/>
      <c r="AG4" s="16">
        <v>5</v>
      </c>
      <c r="AH4" s="24">
        <v>0</v>
      </c>
      <c r="AI4" s="17">
        <f t="shared" ref="AI4:AI9" si="8">+AG4*AH4</f>
        <v>0</v>
      </c>
      <c r="AJ4" s="26"/>
    </row>
    <row r="5" spans="1:36" x14ac:dyDescent="0.25">
      <c r="A5" s="16">
        <v>10</v>
      </c>
      <c r="B5" s="24">
        <v>0</v>
      </c>
      <c r="C5" s="17">
        <f t="shared" si="0"/>
        <v>0</v>
      </c>
      <c r="D5" s="26"/>
      <c r="E5" s="16">
        <v>10</v>
      </c>
      <c r="F5" s="24">
        <v>0</v>
      </c>
      <c r="G5" s="17">
        <f t="shared" si="1"/>
        <v>0</v>
      </c>
      <c r="H5" s="26"/>
      <c r="I5" s="16">
        <v>10</v>
      </c>
      <c r="J5" s="24">
        <v>0</v>
      </c>
      <c r="K5" s="17">
        <f t="shared" si="2"/>
        <v>0</v>
      </c>
      <c r="L5" s="26"/>
      <c r="M5" s="16">
        <v>10</v>
      </c>
      <c r="N5" s="24">
        <v>0</v>
      </c>
      <c r="O5" s="17">
        <f t="shared" si="3"/>
        <v>0</v>
      </c>
      <c r="P5" s="26"/>
      <c r="Q5" s="16">
        <v>10</v>
      </c>
      <c r="R5" s="24">
        <v>0</v>
      </c>
      <c r="S5" s="17">
        <f t="shared" si="4"/>
        <v>0</v>
      </c>
      <c r="T5" s="26"/>
      <c r="U5" s="16">
        <v>10</v>
      </c>
      <c r="V5" s="24">
        <v>0</v>
      </c>
      <c r="W5" s="17">
        <f t="shared" si="5"/>
        <v>0</v>
      </c>
      <c r="X5" s="26"/>
      <c r="Y5" s="16">
        <v>10</v>
      </c>
      <c r="Z5" s="24">
        <v>0</v>
      </c>
      <c r="AA5" s="17">
        <f t="shared" si="6"/>
        <v>0</v>
      </c>
      <c r="AB5" s="26"/>
      <c r="AC5" s="16">
        <v>10</v>
      </c>
      <c r="AD5" s="24">
        <v>0</v>
      </c>
      <c r="AE5" s="17">
        <f t="shared" si="7"/>
        <v>0</v>
      </c>
      <c r="AF5" s="26"/>
      <c r="AG5" s="16">
        <v>10</v>
      </c>
      <c r="AH5" s="24">
        <v>0</v>
      </c>
      <c r="AI5" s="17">
        <f t="shared" si="8"/>
        <v>0</v>
      </c>
      <c r="AJ5" s="26"/>
    </row>
    <row r="6" spans="1:36" x14ac:dyDescent="0.25">
      <c r="A6" s="16">
        <v>20</v>
      </c>
      <c r="B6" s="24">
        <v>0</v>
      </c>
      <c r="C6" s="17">
        <f t="shared" si="0"/>
        <v>0</v>
      </c>
      <c r="D6" s="26"/>
      <c r="E6" s="16">
        <v>20</v>
      </c>
      <c r="F6" s="24">
        <v>0</v>
      </c>
      <c r="G6" s="17">
        <f t="shared" si="1"/>
        <v>0</v>
      </c>
      <c r="H6" s="26"/>
      <c r="I6" s="16">
        <v>20</v>
      </c>
      <c r="J6" s="24">
        <v>0</v>
      </c>
      <c r="K6" s="17">
        <f t="shared" si="2"/>
        <v>0</v>
      </c>
      <c r="L6" s="26"/>
      <c r="M6" s="16">
        <v>20</v>
      </c>
      <c r="N6" s="24">
        <v>0</v>
      </c>
      <c r="O6" s="17">
        <f t="shared" si="3"/>
        <v>0</v>
      </c>
      <c r="P6" s="26"/>
      <c r="Q6" s="16">
        <v>20</v>
      </c>
      <c r="R6" s="24">
        <v>0</v>
      </c>
      <c r="S6" s="17">
        <f t="shared" si="4"/>
        <v>0</v>
      </c>
      <c r="T6" s="26"/>
      <c r="U6" s="16">
        <v>20</v>
      </c>
      <c r="V6" s="24">
        <v>0</v>
      </c>
      <c r="W6" s="17">
        <f t="shared" si="5"/>
        <v>0</v>
      </c>
      <c r="X6" s="26"/>
      <c r="Y6" s="16">
        <v>20</v>
      </c>
      <c r="Z6" s="24">
        <v>0</v>
      </c>
      <c r="AA6" s="17">
        <f t="shared" si="6"/>
        <v>0</v>
      </c>
      <c r="AB6" s="26"/>
      <c r="AC6" s="16">
        <v>20</v>
      </c>
      <c r="AD6" s="24">
        <v>0</v>
      </c>
      <c r="AE6" s="17">
        <f t="shared" si="7"/>
        <v>0</v>
      </c>
      <c r="AF6" s="26"/>
      <c r="AG6" s="16">
        <v>20</v>
      </c>
      <c r="AH6" s="24">
        <v>0</v>
      </c>
      <c r="AI6" s="17">
        <f t="shared" si="8"/>
        <v>0</v>
      </c>
      <c r="AJ6" s="26"/>
    </row>
    <row r="7" spans="1:36" x14ac:dyDescent="0.25">
      <c r="A7" s="16">
        <v>20</v>
      </c>
      <c r="B7" s="24">
        <v>0</v>
      </c>
      <c r="C7" s="17">
        <f t="shared" si="0"/>
        <v>0</v>
      </c>
      <c r="D7" s="26"/>
      <c r="E7" s="16">
        <v>20</v>
      </c>
      <c r="F7" s="24">
        <v>0</v>
      </c>
      <c r="G7" s="17">
        <f t="shared" si="1"/>
        <v>0</v>
      </c>
      <c r="H7" s="26"/>
      <c r="I7" s="16">
        <v>20</v>
      </c>
      <c r="J7" s="24">
        <v>0</v>
      </c>
      <c r="K7" s="17">
        <f t="shared" si="2"/>
        <v>0</v>
      </c>
      <c r="L7" s="26"/>
      <c r="M7" s="16">
        <v>20</v>
      </c>
      <c r="N7" s="24">
        <v>0</v>
      </c>
      <c r="O7" s="17">
        <f t="shared" si="3"/>
        <v>0</v>
      </c>
      <c r="P7" s="26"/>
      <c r="Q7" s="16">
        <v>20</v>
      </c>
      <c r="R7" s="24">
        <v>0</v>
      </c>
      <c r="S7" s="17">
        <f t="shared" si="4"/>
        <v>0</v>
      </c>
      <c r="T7" s="26"/>
      <c r="U7" s="16">
        <v>20</v>
      </c>
      <c r="V7" s="24">
        <v>0</v>
      </c>
      <c r="W7" s="17">
        <f t="shared" si="5"/>
        <v>0</v>
      </c>
      <c r="X7" s="26"/>
      <c r="Y7" s="16">
        <v>20</v>
      </c>
      <c r="Z7" s="24">
        <v>0</v>
      </c>
      <c r="AA7" s="17">
        <f t="shared" si="6"/>
        <v>0</v>
      </c>
      <c r="AB7" s="26"/>
      <c r="AC7" s="16">
        <v>20</v>
      </c>
      <c r="AD7" s="24">
        <v>0</v>
      </c>
      <c r="AE7" s="17">
        <f t="shared" si="7"/>
        <v>0</v>
      </c>
      <c r="AF7" s="26"/>
      <c r="AG7" s="16">
        <v>20</v>
      </c>
      <c r="AH7" s="24">
        <v>0</v>
      </c>
      <c r="AI7" s="17">
        <f t="shared" si="8"/>
        <v>0</v>
      </c>
      <c r="AJ7" s="26"/>
    </row>
    <row r="8" spans="1:36" x14ac:dyDescent="0.25">
      <c r="A8" s="16">
        <v>50</v>
      </c>
      <c r="B8" s="24">
        <v>0</v>
      </c>
      <c r="C8" s="17">
        <f t="shared" si="0"/>
        <v>0</v>
      </c>
      <c r="D8" s="26"/>
      <c r="E8" s="16">
        <v>50</v>
      </c>
      <c r="F8" s="24">
        <v>0</v>
      </c>
      <c r="G8" s="17">
        <f t="shared" si="1"/>
        <v>0</v>
      </c>
      <c r="H8" s="26"/>
      <c r="I8" s="16">
        <v>50</v>
      </c>
      <c r="J8" s="24">
        <v>0</v>
      </c>
      <c r="K8" s="17">
        <f t="shared" si="2"/>
        <v>0</v>
      </c>
      <c r="L8" s="26"/>
      <c r="M8" s="16">
        <v>50</v>
      </c>
      <c r="N8" s="24">
        <v>0</v>
      </c>
      <c r="O8" s="17">
        <f t="shared" si="3"/>
        <v>0</v>
      </c>
      <c r="P8" s="26"/>
      <c r="Q8" s="16">
        <v>50</v>
      </c>
      <c r="R8" s="24">
        <v>0</v>
      </c>
      <c r="S8" s="17">
        <f t="shared" si="4"/>
        <v>0</v>
      </c>
      <c r="T8" s="26"/>
      <c r="U8" s="16">
        <v>50</v>
      </c>
      <c r="V8" s="24">
        <v>0</v>
      </c>
      <c r="W8" s="17">
        <f t="shared" si="5"/>
        <v>0</v>
      </c>
      <c r="X8" s="26"/>
      <c r="Y8" s="16">
        <v>50</v>
      </c>
      <c r="Z8" s="24">
        <v>0</v>
      </c>
      <c r="AA8" s="17">
        <f t="shared" si="6"/>
        <v>0</v>
      </c>
      <c r="AB8" s="26"/>
      <c r="AC8" s="16">
        <v>50</v>
      </c>
      <c r="AD8" s="24">
        <v>0</v>
      </c>
      <c r="AE8" s="17">
        <f t="shared" si="7"/>
        <v>0</v>
      </c>
      <c r="AF8" s="26"/>
      <c r="AG8" s="16">
        <v>50</v>
      </c>
      <c r="AH8" s="24">
        <v>0</v>
      </c>
      <c r="AI8" s="17">
        <f t="shared" si="8"/>
        <v>0</v>
      </c>
      <c r="AJ8" s="26"/>
    </row>
    <row r="9" spans="1:36" x14ac:dyDescent="0.25">
      <c r="A9" s="16">
        <v>100</v>
      </c>
      <c r="B9" s="24">
        <v>0</v>
      </c>
      <c r="C9" s="17">
        <f t="shared" si="0"/>
        <v>0</v>
      </c>
      <c r="D9" s="26"/>
      <c r="E9" s="16">
        <v>100</v>
      </c>
      <c r="F9" s="24">
        <v>0</v>
      </c>
      <c r="G9" s="17">
        <f t="shared" si="1"/>
        <v>0</v>
      </c>
      <c r="H9" s="26"/>
      <c r="I9" s="16">
        <v>100</v>
      </c>
      <c r="J9" s="24">
        <v>0</v>
      </c>
      <c r="K9" s="17">
        <f t="shared" si="2"/>
        <v>0</v>
      </c>
      <c r="L9" s="26"/>
      <c r="M9" s="16">
        <v>100</v>
      </c>
      <c r="N9" s="24">
        <v>0</v>
      </c>
      <c r="O9" s="17">
        <f t="shared" si="3"/>
        <v>0</v>
      </c>
      <c r="P9" s="26"/>
      <c r="Q9" s="16">
        <v>100</v>
      </c>
      <c r="R9" s="24">
        <v>0</v>
      </c>
      <c r="S9" s="17">
        <f t="shared" si="4"/>
        <v>0</v>
      </c>
      <c r="T9" s="26"/>
      <c r="U9" s="16">
        <v>100</v>
      </c>
      <c r="V9" s="24">
        <v>0</v>
      </c>
      <c r="W9" s="17">
        <f t="shared" si="5"/>
        <v>0</v>
      </c>
      <c r="X9" s="26"/>
      <c r="Y9" s="16">
        <v>100</v>
      </c>
      <c r="Z9" s="24">
        <v>0</v>
      </c>
      <c r="AA9" s="17">
        <f t="shared" si="6"/>
        <v>0</v>
      </c>
      <c r="AB9" s="26"/>
      <c r="AC9" s="16">
        <v>100</v>
      </c>
      <c r="AD9" s="24">
        <v>0</v>
      </c>
      <c r="AE9" s="17">
        <f t="shared" si="7"/>
        <v>0</v>
      </c>
      <c r="AF9" s="26"/>
      <c r="AG9" s="16">
        <v>100</v>
      </c>
      <c r="AH9" s="24">
        <v>0</v>
      </c>
      <c r="AI9" s="17">
        <f t="shared" si="8"/>
        <v>0</v>
      </c>
      <c r="AJ9" s="26"/>
    </row>
    <row r="10" spans="1:36" x14ac:dyDescent="0.25">
      <c r="A10" s="16"/>
      <c r="B10" s="27" t="s">
        <v>10</v>
      </c>
      <c r="C10" s="18">
        <f>SUM(C3:C9)</f>
        <v>0</v>
      </c>
      <c r="D10" s="26"/>
      <c r="E10" s="16"/>
      <c r="F10" s="27" t="s">
        <v>10</v>
      </c>
      <c r="G10" s="18">
        <f>SUM(G3:G9)</f>
        <v>0</v>
      </c>
      <c r="H10" s="26"/>
      <c r="I10" s="16"/>
      <c r="J10" s="27" t="s">
        <v>10</v>
      </c>
      <c r="K10" s="18">
        <f>SUM(K3:K9)</f>
        <v>0</v>
      </c>
      <c r="L10" s="26"/>
      <c r="M10" s="16"/>
      <c r="N10" s="27" t="s">
        <v>10</v>
      </c>
      <c r="O10" s="18">
        <f>SUM(O3:O9)</f>
        <v>0</v>
      </c>
      <c r="P10" s="26"/>
      <c r="Q10" s="16"/>
      <c r="R10" s="27" t="s">
        <v>10</v>
      </c>
      <c r="S10" s="18">
        <f>SUM(S3:S9)</f>
        <v>0</v>
      </c>
      <c r="T10" s="26"/>
      <c r="U10" s="16"/>
      <c r="V10" s="27" t="s">
        <v>10</v>
      </c>
      <c r="W10" s="18">
        <f>SUM(W3:W9)</f>
        <v>0</v>
      </c>
      <c r="X10" s="26"/>
      <c r="Y10" s="16"/>
      <c r="Z10" s="27" t="s">
        <v>10</v>
      </c>
      <c r="AA10" s="18">
        <f>SUM(AA3:AA9)</f>
        <v>0</v>
      </c>
      <c r="AB10" s="26"/>
      <c r="AC10" s="16"/>
      <c r="AD10" s="27" t="s">
        <v>10</v>
      </c>
      <c r="AE10" s="18">
        <f>SUM(AE3:AE9)</f>
        <v>0</v>
      </c>
      <c r="AF10" s="26"/>
      <c r="AG10" s="16"/>
      <c r="AH10" s="27" t="s">
        <v>10</v>
      </c>
      <c r="AI10" s="18">
        <f>SUM(AI3:AI9)</f>
        <v>0</v>
      </c>
      <c r="AJ10" s="26"/>
    </row>
    <row r="11" spans="1:36" x14ac:dyDescent="0.25">
      <c r="A11" s="71" t="s">
        <v>11</v>
      </c>
      <c r="B11" s="72"/>
      <c r="C11" s="72"/>
      <c r="D11" s="25"/>
      <c r="E11" s="71" t="s">
        <v>11</v>
      </c>
      <c r="F11" s="72"/>
      <c r="G11" s="72"/>
      <c r="H11" s="25"/>
      <c r="I11" s="71" t="s">
        <v>11</v>
      </c>
      <c r="J11" s="72"/>
      <c r="K11" s="72"/>
      <c r="L11" s="25"/>
      <c r="M11" s="71" t="s">
        <v>11</v>
      </c>
      <c r="N11" s="72"/>
      <c r="O11" s="72"/>
      <c r="P11" s="25"/>
      <c r="Q11" s="71" t="s">
        <v>11</v>
      </c>
      <c r="R11" s="72"/>
      <c r="S11" s="72"/>
      <c r="T11" s="25"/>
      <c r="U11" s="71" t="s">
        <v>11</v>
      </c>
      <c r="V11" s="72"/>
      <c r="W11" s="72"/>
      <c r="X11" s="25"/>
      <c r="Y11" s="71" t="s">
        <v>11</v>
      </c>
      <c r="Z11" s="72"/>
      <c r="AA11" s="72"/>
      <c r="AB11" s="25"/>
      <c r="AC11" s="71" t="s">
        <v>11</v>
      </c>
      <c r="AD11" s="72"/>
      <c r="AE11" s="72"/>
      <c r="AF11" s="25"/>
      <c r="AG11" s="71" t="s">
        <v>11</v>
      </c>
      <c r="AH11" s="72"/>
      <c r="AI11" s="72"/>
      <c r="AJ11" s="25"/>
    </row>
    <row r="12" spans="1:36" x14ac:dyDescent="0.25">
      <c r="A12" s="32">
        <v>30</v>
      </c>
      <c r="B12" s="24">
        <v>0</v>
      </c>
      <c r="C12" s="17">
        <f>+A12*B12</f>
        <v>0</v>
      </c>
      <c r="D12" s="26"/>
      <c r="E12" s="32">
        <v>30</v>
      </c>
      <c r="F12" s="24">
        <v>0</v>
      </c>
      <c r="G12" s="17">
        <f>+E12*F12</f>
        <v>0</v>
      </c>
      <c r="H12" s="26"/>
      <c r="I12" s="32">
        <v>30</v>
      </c>
      <c r="J12" s="24">
        <v>0</v>
      </c>
      <c r="K12" s="17">
        <f>+I12*J12</f>
        <v>0</v>
      </c>
      <c r="L12" s="26"/>
      <c r="M12" s="32">
        <v>30</v>
      </c>
      <c r="N12" s="24">
        <v>0</v>
      </c>
      <c r="O12" s="17">
        <f>+M12*N12</f>
        <v>0</v>
      </c>
      <c r="P12" s="26"/>
      <c r="Q12" s="32">
        <v>30</v>
      </c>
      <c r="R12" s="24">
        <v>0</v>
      </c>
      <c r="S12" s="17">
        <f>+Q12*R12</f>
        <v>0</v>
      </c>
      <c r="T12" s="26"/>
      <c r="U12" s="32">
        <v>30</v>
      </c>
      <c r="V12" s="24">
        <v>0</v>
      </c>
      <c r="W12" s="17">
        <f>+U12*V12</f>
        <v>0</v>
      </c>
      <c r="X12" s="26"/>
      <c r="Y12" s="32">
        <v>30</v>
      </c>
      <c r="Z12" s="24">
        <v>0</v>
      </c>
      <c r="AA12" s="17">
        <f>+Y12*Z12</f>
        <v>0</v>
      </c>
      <c r="AB12" s="26"/>
      <c r="AC12" s="32">
        <v>30</v>
      </c>
      <c r="AD12" s="24">
        <v>0</v>
      </c>
      <c r="AE12" s="17">
        <f>+AC12*AD12</f>
        <v>0</v>
      </c>
      <c r="AF12" s="26"/>
      <c r="AG12" s="32">
        <v>30</v>
      </c>
      <c r="AH12" s="24">
        <v>0</v>
      </c>
      <c r="AI12" s="17">
        <f>+AG12*AH12</f>
        <v>0</v>
      </c>
      <c r="AJ12" s="26"/>
    </row>
    <row r="13" spans="1:36" x14ac:dyDescent="0.25">
      <c r="A13" s="32">
        <v>60</v>
      </c>
      <c r="B13" s="24">
        <v>0</v>
      </c>
      <c r="C13" s="17">
        <f t="shared" ref="C13:C21" si="9">+A13*B13</f>
        <v>0</v>
      </c>
      <c r="D13" s="26"/>
      <c r="E13" s="32">
        <v>60</v>
      </c>
      <c r="F13" s="24">
        <v>0</v>
      </c>
      <c r="G13" s="17">
        <f t="shared" ref="G13:G21" si="10">+E13*F13</f>
        <v>0</v>
      </c>
      <c r="H13" s="26"/>
      <c r="I13" s="32">
        <v>60</v>
      </c>
      <c r="J13" s="24">
        <v>0</v>
      </c>
      <c r="K13" s="17">
        <f t="shared" ref="K13:K21" si="11">+I13*J13</f>
        <v>0</v>
      </c>
      <c r="L13" s="26"/>
      <c r="M13" s="32">
        <v>60</v>
      </c>
      <c r="N13" s="24">
        <v>0</v>
      </c>
      <c r="O13" s="17">
        <f t="shared" ref="O13:O21" si="12">+M13*N13</f>
        <v>0</v>
      </c>
      <c r="P13" s="26"/>
      <c r="Q13" s="32">
        <v>60</v>
      </c>
      <c r="R13" s="24">
        <v>0</v>
      </c>
      <c r="S13" s="17">
        <f t="shared" ref="S13:S21" si="13">+Q13*R13</f>
        <v>0</v>
      </c>
      <c r="T13" s="26"/>
      <c r="U13" s="32">
        <v>60</v>
      </c>
      <c r="V13" s="24">
        <v>0</v>
      </c>
      <c r="W13" s="17">
        <f t="shared" ref="W13:W21" si="14">+U13*V13</f>
        <v>0</v>
      </c>
      <c r="X13" s="26"/>
      <c r="Y13" s="32">
        <v>60</v>
      </c>
      <c r="Z13" s="24">
        <v>0</v>
      </c>
      <c r="AA13" s="17">
        <f t="shared" ref="AA13:AA21" si="15">+Y13*Z13</f>
        <v>0</v>
      </c>
      <c r="AB13" s="26"/>
      <c r="AC13" s="32">
        <v>60</v>
      </c>
      <c r="AD13" s="24">
        <v>0</v>
      </c>
      <c r="AE13" s="17">
        <f t="shared" ref="AE13:AE21" si="16">+AC13*AD13</f>
        <v>0</v>
      </c>
      <c r="AF13" s="26"/>
      <c r="AG13" s="32">
        <v>60</v>
      </c>
      <c r="AH13" s="24">
        <v>0</v>
      </c>
      <c r="AI13" s="17">
        <f t="shared" ref="AI13:AI21" si="17">+AG13*AH13</f>
        <v>0</v>
      </c>
      <c r="AJ13" s="26"/>
    </row>
    <row r="14" spans="1:36" x14ac:dyDescent="0.25">
      <c r="A14" s="32">
        <v>90</v>
      </c>
      <c r="B14" s="24">
        <v>0</v>
      </c>
      <c r="C14" s="17">
        <f t="shared" si="9"/>
        <v>0</v>
      </c>
      <c r="D14" s="26"/>
      <c r="E14" s="32">
        <v>90</v>
      </c>
      <c r="F14" s="24">
        <v>0</v>
      </c>
      <c r="G14" s="17">
        <f t="shared" si="10"/>
        <v>0</v>
      </c>
      <c r="H14" s="26"/>
      <c r="I14" s="32">
        <v>90</v>
      </c>
      <c r="J14" s="24">
        <v>0</v>
      </c>
      <c r="K14" s="17">
        <f t="shared" si="11"/>
        <v>0</v>
      </c>
      <c r="L14" s="26"/>
      <c r="M14" s="32">
        <v>90</v>
      </c>
      <c r="N14" s="24">
        <v>0</v>
      </c>
      <c r="O14" s="17">
        <f t="shared" si="12"/>
        <v>0</v>
      </c>
      <c r="P14" s="26"/>
      <c r="Q14" s="32">
        <v>90</v>
      </c>
      <c r="R14" s="24">
        <v>0</v>
      </c>
      <c r="S14" s="17">
        <f t="shared" si="13"/>
        <v>0</v>
      </c>
      <c r="T14" s="26"/>
      <c r="U14" s="32">
        <v>90</v>
      </c>
      <c r="V14" s="24">
        <v>0</v>
      </c>
      <c r="W14" s="17">
        <f t="shared" si="14"/>
        <v>0</v>
      </c>
      <c r="X14" s="26"/>
      <c r="Y14" s="32">
        <v>90</v>
      </c>
      <c r="Z14" s="24">
        <v>0</v>
      </c>
      <c r="AA14" s="17">
        <f t="shared" si="15"/>
        <v>0</v>
      </c>
      <c r="AB14" s="26"/>
      <c r="AC14" s="32">
        <v>90</v>
      </c>
      <c r="AD14" s="24">
        <v>0</v>
      </c>
      <c r="AE14" s="17">
        <f t="shared" si="16"/>
        <v>0</v>
      </c>
      <c r="AF14" s="26"/>
      <c r="AG14" s="32">
        <v>90</v>
      </c>
      <c r="AH14" s="24">
        <v>0</v>
      </c>
      <c r="AI14" s="17">
        <f t="shared" si="17"/>
        <v>0</v>
      </c>
      <c r="AJ14" s="26"/>
    </row>
    <row r="15" spans="1:36" x14ac:dyDescent="0.25">
      <c r="A15" s="32">
        <v>120</v>
      </c>
      <c r="B15" s="24">
        <v>0</v>
      </c>
      <c r="C15" s="17">
        <f t="shared" si="9"/>
        <v>0</v>
      </c>
      <c r="D15" s="26"/>
      <c r="E15" s="32">
        <v>120</v>
      </c>
      <c r="F15" s="24">
        <v>0</v>
      </c>
      <c r="G15" s="17">
        <f t="shared" si="10"/>
        <v>0</v>
      </c>
      <c r="H15" s="26"/>
      <c r="I15" s="32">
        <v>120</v>
      </c>
      <c r="J15" s="24">
        <v>0</v>
      </c>
      <c r="K15" s="17">
        <f t="shared" si="11"/>
        <v>0</v>
      </c>
      <c r="L15" s="26"/>
      <c r="M15" s="32">
        <v>120</v>
      </c>
      <c r="N15" s="24">
        <v>0</v>
      </c>
      <c r="O15" s="17">
        <f t="shared" si="12"/>
        <v>0</v>
      </c>
      <c r="P15" s="26"/>
      <c r="Q15" s="32">
        <v>120</v>
      </c>
      <c r="R15" s="24">
        <v>0</v>
      </c>
      <c r="S15" s="17">
        <f t="shared" si="13"/>
        <v>0</v>
      </c>
      <c r="T15" s="26"/>
      <c r="U15" s="32">
        <v>120</v>
      </c>
      <c r="V15" s="24">
        <v>0</v>
      </c>
      <c r="W15" s="17">
        <f t="shared" si="14"/>
        <v>0</v>
      </c>
      <c r="X15" s="26"/>
      <c r="Y15" s="32">
        <v>120</v>
      </c>
      <c r="Z15" s="24">
        <v>0</v>
      </c>
      <c r="AA15" s="17">
        <f t="shared" si="15"/>
        <v>0</v>
      </c>
      <c r="AB15" s="26"/>
      <c r="AC15" s="32">
        <v>120</v>
      </c>
      <c r="AD15" s="24">
        <v>0</v>
      </c>
      <c r="AE15" s="17">
        <f t="shared" si="16"/>
        <v>0</v>
      </c>
      <c r="AF15" s="26"/>
      <c r="AG15" s="32">
        <v>120</v>
      </c>
      <c r="AH15" s="24">
        <v>0</v>
      </c>
      <c r="AI15" s="17">
        <f t="shared" si="17"/>
        <v>0</v>
      </c>
      <c r="AJ15" s="26"/>
    </row>
    <row r="16" spans="1:36" x14ac:dyDescent="0.25">
      <c r="A16" s="33"/>
      <c r="B16" s="24">
        <v>0</v>
      </c>
      <c r="C16" s="17">
        <f t="shared" si="9"/>
        <v>0</v>
      </c>
      <c r="D16" s="26"/>
      <c r="E16" s="33"/>
      <c r="F16" s="24">
        <v>0</v>
      </c>
      <c r="G16" s="17">
        <f t="shared" si="10"/>
        <v>0</v>
      </c>
      <c r="H16" s="26"/>
      <c r="I16" s="33"/>
      <c r="J16" s="24">
        <v>0</v>
      </c>
      <c r="K16" s="17">
        <f t="shared" si="11"/>
        <v>0</v>
      </c>
      <c r="L16" s="26"/>
      <c r="M16" s="33"/>
      <c r="N16" s="24">
        <v>0</v>
      </c>
      <c r="O16" s="17">
        <f t="shared" si="12"/>
        <v>0</v>
      </c>
      <c r="P16" s="26"/>
      <c r="Q16" s="33"/>
      <c r="R16" s="24">
        <v>0</v>
      </c>
      <c r="S16" s="17">
        <f t="shared" si="13"/>
        <v>0</v>
      </c>
      <c r="T16" s="26"/>
      <c r="U16" s="33"/>
      <c r="V16" s="24">
        <v>0</v>
      </c>
      <c r="W16" s="17">
        <f t="shared" si="14"/>
        <v>0</v>
      </c>
      <c r="X16" s="26"/>
      <c r="Y16" s="33"/>
      <c r="Z16" s="24">
        <v>0</v>
      </c>
      <c r="AA16" s="17">
        <f t="shared" si="15"/>
        <v>0</v>
      </c>
      <c r="AB16" s="26"/>
      <c r="AC16" s="33"/>
      <c r="AD16" s="24">
        <v>0</v>
      </c>
      <c r="AE16" s="17">
        <f t="shared" si="16"/>
        <v>0</v>
      </c>
      <c r="AF16" s="26"/>
      <c r="AG16" s="33"/>
      <c r="AH16" s="24">
        <v>0</v>
      </c>
      <c r="AI16" s="17">
        <f t="shared" si="17"/>
        <v>0</v>
      </c>
      <c r="AJ16" s="26"/>
    </row>
    <row r="17" spans="1:36" x14ac:dyDescent="0.25">
      <c r="A17" s="33"/>
      <c r="B17" s="24">
        <v>0</v>
      </c>
      <c r="C17" s="17">
        <f t="shared" si="9"/>
        <v>0</v>
      </c>
      <c r="D17" s="26"/>
      <c r="E17" s="33"/>
      <c r="F17" s="24">
        <v>0</v>
      </c>
      <c r="G17" s="17">
        <f t="shared" si="10"/>
        <v>0</v>
      </c>
      <c r="H17" s="26"/>
      <c r="I17" s="33"/>
      <c r="J17" s="24">
        <v>0</v>
      </c>
      <c r="K17" s="17">
        <f t="shared" si="11"/>
        <v>0</v>
      </c>
      <c r="L17" s="26"/>
      <c r="M17" s="33"/>
      <c r="N17" s="24">
        <v>0</v>
      </c>
      <c r="O17" s="17">
        <f t="shared" si="12"/>
        <v>0</v>
      </c>
      <c r="P17" s="26"/>
      <c r="Q17" s="33"/>
      <c r="R17" s="24">
        <v>0</v>
      </c>
      <c r="S17" s="17">
        <f t="shared" si="13"/>
        <v>0</v>
      </c>
      <c r="T17" s="26"/>
      <c r="U17" s="33"/>
      <c r="V17" s="24">
        <v>0</v>
      </c>
      <c r="W17" s="17">
        <f t="shared" si="14"/>
        <v>0</v>
      </c>
      <c r="X17" s="26"/>
      <c r="Y17" s="33"/>
      <c r="Z17" s="24">
        <v>0</v>
      </c>
      <c r="AA17" s="17">
        <f t="shared" si="15"/>
        <v>0</v>
      </c>
      <c r="AB17" s="26"/>
      <c r="AC17" s="33"/>
      <c r="AD17" s="24">
        <v>0</v>
      </c>
      <c r="AE17" s="17">
        <f t="shared" si="16"/>
        <v>0</v>
      </c>
      <c r="AF17" s="26"/>
      <c r="AG17" s="33"/>
      <c r="AH17" s="24">
        <v>0</v>
      </c>
      <c r="AI17" s="17">
        <f t="shared" si="17"/>
        <v>0</v>
      </c>
      <c r="AJ17" s="26"/>
    </row>
    <row r="18" spans="1:36" x14ac:dyDescent="0.25">
      <c r="A18" s="33"/>
      <c r="B18" s="24">
        <v>0</v>
      </c>
      <c r="C18" s="17">
        <f t="shared" si="9"/>
        <v>0</v>
      </c>
      <c r="D18" s="26"/>
      <c r="E18" s="33"/>
      <c r="F18" s="24">
        <v>0</v>
      </c>
      <c r="G18" s="17">
        <f t="shared" si="10"/>
        <v>0</v>
      </c>
      <c r="H18" s="26"/>
      <c r="I18" s="33"/>
      <c r="J18" s="24">
        <v>0</v>
      </c>
      <c r="K18" s="17">
        <f t="shared" si="11"/>
        <v>0</v>
      </c>
      <c r="L18" s="26"/>
      <c r="M18" s="33"/>
      <c r="N18" s="24">
        <v>0</v>
      </c>
      <c r="O18" s="17">
        <f t="shared" si="12"/>
        <v>0</v>
      </c>
      <c r="P18" s="26"/>
      <c r="Q18" s="33"/>
      <c r="R18" s="24">
        <v>0</v>
      </c>
      <c r="S18" s="17">
        <f t="shared" si="13"/>
        <v>0</v>
      </c>
      <c r="T18" s="26"/>
      <c r="U18" s="33"/>
      <c r="V18" s="24">
        <v>0</v>
      </c>
      <c r="W18" s="17">
        <f t="shared" si="14"/>
        <v>0</v>
      </c>
      <c r="X18" s="26"/>
      <c r="Y18" s="33"/>
      <c r="Z18" s="24">
        <v>0</v>
      </c>
      <c r="AA18" s="17">
        <f t="shared" si="15"/>
        <v>0</v>
      </c>
      <c r="AB18" s="26"/>
      <c r="AC18" s="33"/>
      <c r="AD18" s="24">
        <v>0</v>
      </c>
      <c r="AE18" s="17">
        <f t="shared" si="16"/>
        <v>0</v>
      </c>
      <c r="AF18" s="26"/>
      <c r="AG18" s="33"/>
      <c r="AH18" s="24">
        <v>0</v>
      </c>
      <c r="AI18" s="17">
        <f t="shared" si="17"/>
        <v>0</v>
      </c>
      <c r="AJ18" s="26"/>
    </row>
    <row r="19" spans="1:36" x14ac:dyDescent="0.25">
      <c r="A19" s="33"/>
      <c r="B19" s="24">
        <v>0</v>
      </c>
      <c r="C19" s="17">
        <f t="shared" si="9"/>
        <v>0</v>
      </c>
      <c r="D19" s="26"/>
      <c r="E19" s="33"/>
      <c r="F19" s="24">
        <v>0</v>
      </c>
      <c r="G19" s="17">
        <f t="shared" si="10"/>
        <v>0</v>
      </c>
      <c r="H19" s="26"/>
      <c r="I19" s="33"/>
      <c r="J19" s="24">
        <v>0</v>
      </c>
      <c r="K19" s="17">
        <f t="shared" si="11"/>
        <v>0</v>
      </c>
      <c r="L19" s="26"/>
      <c r="M19" s="33"/>
      <c r="N19" s="24">
        <v>0</v>
      </c>
      <c r="O19" s="17">
        <f t="shared" si="12"/>
        <v>0</v>
      </c>
      <c r="P19" s="26"/>
      <c r="Q19" s="33"/>
      <c r="R19" s="24">
        <v>0</v>
      </c>
      <c r="S19" s="17">
        <f t="shared" si="13"/>
        <v>0</v>
      </c>
      <c r="T19" s="26"/>
      <c r="U19" s="33"/>
      <c r="V19" s="24">
        <v>0</v>
      </c>
      <c r="W19" s="17">
        <f t="shared" si="14"/>
        <v>0</v>
      </c>
      <c r="X19" s="26"/>
      <c r="Y19" s="33"/>
      <c r="Z19" s="24">
        <v>0</v>
      </c>
      <c r="AA19" s="17">
        <f t="shared" si="15"/>
        <v>0</v>
      </c>
      <c r="AB19" s="26"/>
      <c r="AC19" s="33"/>
      <c r="AD19" s="24">
        <v>0</v>
      </c>
      <c r="AE19" s="17">
        <f t="shared" si="16"/>
        <v>0</v>
      </c>
      <c r="AF19" s="26"/>
      <c r="AG19" s="33"/>
      <c r="AH19" s="24">
        <v>0</v>
      </c>
      <c r="AI19" s="17">
        <f t="shared" si="17"/>
        <v>0</v>
      </c>
      <c r="AJ19" s="26"/>
    </row>
    <row r="20" spans="1:36" x14ac:dyDescent="0.25">
      <c r="A20" s="33"/>
      <c r="B20" s="24">
        <v>0</v>
      </c>
      <c r="C20" s="17">
        <f t="shared" si="9"/>
        <v>0</v>
      </c>
      <c r="D20" s="26"/>
      <c r="E20" s="33"/>
      <c r="F20" s="24">
        <v>0</v>
      </c>
      <c r="G20" s="17">
        <f t="shared" si="10"/>
        <v>0</v>
      </c>
      <c r="H20" s="26"/>
      <c r="I20" s="33"/>
      <c r="J20" s="24">
        <v>0</v>
      </c>
      <c r="K20" s="17">
        <f t="shared" si="11"/>
        <v>0</v>
      </c>
      <c r="L20" s="26"/>
      <c r="M20" s="33"/>
      <c r="N20" s="24">
        <v>0</v>
      </c>
      <c r="O20" s="17">
        <f t="shared" si="12"/>
        <v>0</v>
      </c>
      <c r="P20" s="26"/>
      <c r="Q20" s="33"/>
      <c r="R20" s="24">
        <v>0</v>
      </c>
      <c r="S20" s="17">
        <f t="shared" si="13"/>
        <v>0</v>
      </c>
      <c r="T20" s="26"/>
      <c r="U20" s="33"/>
      <c r="V20" s="24">
        <v>0</v>
      </c>
      <c r="W20" s="17">
        <f t="shared" si="14"/>
        <v>0</v>
      </c>
      <c r="X20" s="26"/>
      <c r="Y20" s="33"/>
      <c r="Z20" s="24">
        <v>0</v>
      </c>
      <c r="AA20" s="17">
        <f t="shared" si="15"/>
        <v>0</v>
      </c>
      <c r="AB20" s="26"/>
      <c r="AC20" s="33"/>
      <c r="AD20" s="24">
        <v>0</v>
      </c>
      <c r="AE20" s="17">
        <f t="shared" si="16"/>
        <v>0</v>
      </c>
      <c r="AF20" s="26"/>
      <c r="AG20" s="33"/>
      <c r="AH20" s="24">
        <v>0</v>
      </c>
      <c r="AI20" s="17">
        <f t="shared" si="17"/>
        <v>0</v>
      </c>
      <c r="AJ20" s="26"/>
    </row>
    <row r="21" spans="1:36" x14ac:dyDescent="0.25">
      <c r="A21" s="33"/>
      <c r="B21" s="24">
        <v>0</v>
      </c>
      <c r="C21" s="17">
        <f t="shared" si="9"/>
        <v>0</v>
      </c>
      <c r="D21" s="26"/>
      <c r="E21" s="33"/>
      <c r="F21" s="24">
        <v>0</v>
      </c>
      <c r="G21" s="17">
        <f t="shared" si="10"/>
        <v>0</v>
      </c>
      <c r="H21" s="26"/>
      <c r="I21" s="33"/>
      <c r="J21" s="24">
        <v>0</v>
      </c>
      <c r="K21" s="17">
        <f t="shared" si="11"/>
        <v>0</v>
      </c>
      <c r="L21" s="26"/>
      <c r="M21" s="33"/>
      <c r="N21" s="24">
        <v>0</v>
      </c>
      <c r="O21" s="17">
        <f t="shared" si="12"/>
        <v>0</v>
      </c>
      <c r="P21" s="26"/>
      <c r="Q21" s="33"/>
      <c r="R21" s="24">
        <v>0</v>
      </c>
      <c r="S21" s="17">
        <f t="shared" si="13"/>
        <v>0</v>
      </c>
      <c r="T21" s="26"/>
      <c r="U21" s="33"/>
      <c r="V21" s="24">
        <v>0</v>
      </c>
      <c r="W21" s="17">
        <f t="shared" si="14"/>
        <v>0</v>
      </c>
      <c r="X21" s="26"/>
      <c r="Y21" s="33"/>
      <c r="Z21" s="24">
        <v>0</v>
      </c>
      <c r="AA21" s="17">
        <f t="shared" si="15"/>
        <v>0</v>
      </c>
      <c r="AB21" s="26"/>
      <c r="AC21" s="33"/>
      <c r="AD21" s="24">
        <v>0</v>
      </c>
      <c r="AE21" s="17">
        <f t="shared" si="16"/>
        <v>0</v>
      </c>
      <c r="AF21" s="26"/>
      <c r="AG21" s="33"/>
      <c r="AH21" s="24">
        <v>0</v>
      </c>
      <c r="AI21" s="17">
        <f t="shared" si="17"/>
        <v>0</v>
      </c>
      <c r="AJ21" s="26"/>
    </row>
    <row r="22" spans="1:36" x14ac:dyDescent="0.25">
      <c r="A22" s="16"/>
      <c r="B22" s="27" t="s">
        <v>10</v>
      </c>
      <c r="C22" s="17">
        <f>SUM(C12:C21)</f>
        <v>0</v>
      </c>
      <c r="D22" s="26"/>
      <c r="E22" s="16"/>
      <c r="F22" s="27" t="s">
        <v>10</v>
      </c>
      <c r="G22" s="17">
        <f>SUM(G12:G21)</f>
        <v>0</v>
      </c>
      <c r="H22" s="26"/>
      <c r="I22" s="16"/>
      <c r="J22" s="27" t="s">
        <v>10</v>
      </c>
      <c r="K22" s="17">
        <f>SUM(K12:K21)</f>
        <v>0</v>
      </c>
      <c r="L22" s="26"/>
      <c r="M22" s="16"/>
      <c r="N22" s="27" t="s">
        <v>10</v>
      </c>
      <c r="O22" s="17">
        <f>SUM(O12:O21)</f>
        <v>0</v>
      </c>
      <c r="P22" s="26"/>
      <c r="Q22" s="16"/>
      <c r="R22" s="27" t="s">
        <v>10</v>
      </c>
      <c r="S22" s="17">
        <f>SUM(S12:S21)</f>
        <v>0</v>
      </c>
      <c r="T22" s="26"/>
      <c r="U22" s="16"/>
      <c r="V22" s="27" t="s">
        <v>10</v>
      </c>
      <c r="W22" s="17">
        <f>SUM(W12:W21)</f>
        <v>0</v>
      </c>
      <c r="X22" s="26"/>
      <c r="Y22" s="16"/>
      <c r="Z22" s="27" t="s">
        <v>10</v>
      </c>
      <c r="AA22" s="17">
        <f>SUM(AA12:AA21)</f>
        <v>0</v>
      </c>
      <c r="AB22" s="26"/>
      <c r="AC22" s="16"/>
      <c r="AD22" s="27" t="s">
        <v>10</v>
      </c>
      <c r="AE22" s="17">
        <f>SUM(AE12:AE21)</f>
        <v>0</v>
      </c>
      <c r="AF22" s="26"/>
      <c r="AG22" s="16"/>
      <c r="AH22" s="27" t="s">
        <v>10</v>
      </c>
      <c r="AI22" s="17">
        <f>SUM(AI12:AI21)</f>
        <v>0</v>
      </c>
      <c r="AJ22" s="26"/>
    </row>
    <row r="23" spans="1:36" x14ac:dyDescent="0.25">
      <c r="A23" s="66" t="s">
        <v>12</v>
      </c>
      <c r="B23" s="66"/>
      <c r="C23" s="34">
        <v>0</v>
      </c>
      <c r="D23" s="26"/>
      <c r="E23" s="66" t="s">
        <v>12</v>
      </c>
      <c r="F23" s="66"/>
      <c r="G23" s="34">
        <v>0</v>
      </c>
      <c r="H23" s="26"/>
      <c r="I23" s="66" t="s">
        <v>12</v>
      </c>
      <c r="J23" s="66"/>
      <c r="K23" s="34">
        <v>0</v>
      </c>
      <c r="L23" s="26"/>
      <c r="M23" s="66" t="s">
        <v>12</v>
      </c>
      <c r="N23" s="66"/>
      <c r="O23" s="34">
        <v>0</v>
      </c>
      <c r="P23" s="26"/>
      <c r="Q23" s="66" t="s">
        <v>12</v>
      </c>
      <c r="R23" s="66"/>
      <c r="S23" s="34">
        <v>0</v>
      </c>
      <c r="T23" s="26"/>
      <c r="U23" s="66" t="s">
        <v>12</v>
      </c>
      <c r="V23" s="66"/>
      <c r="W23" s="34">
        <v>0</v>
      </c>
      <c r="X23" s="26"/>
      <c r="Y23" s="66" t="s">
        <v>12</v>
      </c>
      <c r="Z23" s="66"/>
      <c r="AA23" s="34">
        <v>0</v>
      </c>
      <c r="AB23" s="26"/>
      <c r="AC23" s="66" t="s">
        <v>12</v>
      </c>
      <c r="AD23" s="66"/>
      <c r="AE23" s="34">
        <v>0</v>
      </c>
      <c r="AF23" s="26"/>
      <c r="AG23" s="66" t="s">
        <v>12</v>
      </c>
      <c r="AH23" s="66"/>
      <c r="AI23" s="34">
        <v>0</v>
      </c>
      <c r="AJ23" s="26"/>
    </row>
    <row r="24" spans="1:36" x14ac:dyDescent="0.25">
      <c r="A24" s="65" t="s">
        <v>13</v>
      </c>
      <c r="B24" s="65"/>
      <c r="C24" s="19">
        <f>+C32*13.25</f>
        <v>0</v>
      </c>
      <c r="D24" s="26"/>
      <c r="E24" s="65" t="s">
        <v>13</v>
      </c>
      <c r="F24" s="65"/>
      <c r="G24" s="19">
        <f>+G32*13.25</f>
        <v>0</v>
      </c>
      <c r="H24" s="26"/>
      <c r="I24" s="65" t="s">
        <v>13</v>
      </c>
      <c r="J24" s="65"/>
      <c r="K24" s="19">
        <f>+K32*13.25</f>
        <v>0</v>
      </c>
      <c r="L24" s="26"/>
      <c r="M24" s="65" t="s">
        <v>13</v>
      </c>
      <c r="N24" s="65"/>
      <c r="O24" s="19">
        <f>+O32*13.25</f>
        <v>0</v>
      </c>
      <c r="P24" s="26"/>
      <c r="Q24" s="65" t="s">
        <v>13</v>
      </c>
      <c r="R24" s="65"/>
      <c r="S24" s="19">
        <f>+S32*13.25</f>
        <v>0</v>
      </c>
      <c r="T24" s="26"/>
      <c r="U24" s="65" t="s">
        <v>13</v>
      </c>
      <c r="V24" s="65"/>
      <c r="W24" s="19">
        <f>+W32*13.25</f>
        <v>0</v>
      </c>
      <c r="X24" s="26"/>
      <c r="Y24" s="65" t="s">
        <v>13</v>
      </c>
      <c r="Z24" s="65"/>
      <c r="AA24" s="19">
        <f>+AA32*13.25</f>
        <v>0</v>
      </c>
      <c r="AB24" s="26"/>
      <c r="AC24" s="65" t="s">
        <v>13</v>
      </c>
      <c r="AD24" s="65"/>
      <c r="AE24" s="19">
        <f>+AE32*13.25</f>
        <v>0</v>
      </c>
      <c r="AF24" s="26"/>
      <c r="AG24" s="65" t="s">
        <v>13</v>
      </c>
      <c r="AH24" s="65"/>
      <c r="AI24" s="19">
        <f>+AI32*13.25</f>
        <v>0</v>
      </c>
      <c r="AJ24" s="26"/>
    </row>
    <row r="25" spans="1:36" x14ac:dyDescent="0.25">
      <c r="A25" s="65" t="s">
        <v>14</v>
      </c>
      <c r="B25" s="65"/>
      <c r="C25" s="19">
        <f>'1'!G27+'2'!G27+'3'!G27+'4'!G27+'5'!G27+'6'!G27+'7'!G27+'8'!G27+'9'!G27+'10'!G27+'11'!G27+'12'!G27+'13'!G27+'14'!G27+'15'!G27+'16'!G27+'17'!G27+'18'!G27+'19'!G27+'20'!G27</f>
        <v>0</v>
      </c>
      <c r="D25" s="26"/>
      <c r="E25" s="65" t="s">
        <v>14</v>
      </c>
      <c r="F25" s="65"/>
      <c r="G25" s="19">
        <f>'1'!G27+'2'!G27+'3'!G27+'4'!G27+'5'!G27+'6'!G27+'7'!G27+'8'!G27+'9'!G27+'10'!G27+'11'!G27+'12'!G27+'13'!G27+'14'!G27+'15'!G27+'16'!G27+'17'!G27+'18'!G27+'19'!G27+'20'!G27</f>
        <v>0</v>
      </c>
      <c r="H25" s="26"/>
      <c r="I25" s="65" t="s">
        <v>14</v>
      </c>
      <c r="J25" s="65"/>
      <c r="K25" s="19">
        <f>'1'!G27+'2'!G27+'3'!G27+'4'!G27+'5'!G27+'6'!G27+'7'!G27+'8'!G27+'9'!G27+'10'!G27+'11'!G27+'12'!G27+'13'!G27+'14'!G27+'15'!G27+'16'!G27+'17'!G27+'18'!G27+'19'!G27+'20'!G27</f>
        <v>0</v>
      </c>
      <c r="L25" s="26"/>
      <c r="M25" s="65" t="s">
        <v>14</v>
      </c>
      <c r="N25" s="65"/>
      <c r="O25" s="19">
        <f>'1'!G27+'2'!G27+'3'!G27+'4'!G27+'5'!G27+'6'!G27+'7'!G27+'8'!G27+'9'!G27+'10'!G27+'11'!G27+'12'!G27+'13'!G27+'14'!G27+'15'!G27+'16'!G27+'17'!G27+'18'!G27+'19'!G27+'20'!G27</f>
        <v>0</v>
      </c>
      <c r="P25" s="26"/>
      <c r="Q25" s="65" t="s">
        <v>14</v>
      </c>
      <c r="R25" s="65"/>
      <c r="S25" s="19">
        <f>'1'!G27+'2'!G27+'3'!G27+'4'!G27+'5'!G27+'6'!G27+'7'!G27+'8'!G27+'9'!G27+'10'!G27+'11'!G27+'12'!G27+'13'!G27+'14'!G27+'15'!G27+'16'!G27+'17'!G27+'18'!G27+'19'!G27+'20'!G27</f>
        <v>0</v>
      </c>
      <c r="T25" s="26"/>
      <c r="U25" s="65" t="s">
        <v>14</v>
      </c>
      <c r="V25" s="65"/>
      <c r="W25" s="19">
        <f>'1'!G27+'2'!G27+'3'!G27+'4'!G27+'5'!G27+'6'!G27+'7'!G27+'8'!G27+'9'!G27+'10'!G27+'11'!G27+'12'!G27+'13'!G27+'14'!G27+'15'!G27+'16'!G27+'17'!G27+'18'!G27+'19'!G27+'20'!G27</f>
        <v>0</v>
      </c>
      <c r="X25" s="26"/>
      <c r="Y25" s="65" t="s">
        <v>14</v>
      </c>
      <c r="Z25" s="65"/>
      <c r="AA25" s="19">
        <f>'1'!G27+'2'!G27+'3'!G27+'4'!G27+'5'!G27+'6'!G27+'7'!G27+'8'!G27+'9'!G27+'10'!G27+'11'!G27+'12'!G27+'13'!G27+'14'!G27+'15'!G27+'16'!G27+'17'!G27+'18'!G27+'19'!G27+'20'!G27</f>
        <v>0</v>
      </c>
      <c r="AB25" s="26"/>
      <c r="AC25" s="65" t="s">
        <v>14</v>
      </c>
      <c r="AD25" s="65"/>
      <c r="AE25" s="19">
        <f>'1'!G27+'2'!G27+'3'!G27+'4'!G27+'5'!G27+'6'!G27+'7'!G27+'8'!G27+'9'!G27+'10'!G27+'11'!G27+'12'!G27+'13'!G27+'14'!G27+'15'!G27+'16'!G27+'17'!G27+'18'!G27+'19'!G27+'20'!G27</f>
        <v>0</v>
      </c>
      <c r="AF25" s="26"/>
      <c r="AG25" s="65" t="s">
        <v>14</v>
      </c>
      <c r="AH25" s="65"/>
      <c r="AI25" s="19">
        <f>'1'!G27+'2'!G27+'3'!G27+'4'!G27+'5'!G27+'6'!G27+'7'!G27+'8'!G27+'9'!G27+'10'!G27+'11'!G27+'12'!G27+'13'!G27+'14'!G27+'15'!G27+'16'!G27+'17'!G27+'18'!G27+'19'!G27+'20'!G27</f>
        <v>0</v>
      </c>
      <c r="AJ25" s="26"/>
    </row>
    <row r="26" spans="1:36" x14ac:dyDescent="0.25">
      <c r="A26" s="65" t="s">
        <v>15</v>
      </c>
      <c r="B26" s="65"/>
      <c r="C26" s="20">
        <f>+C10+C22+C23+C25</f>
        <v>0</v>
      </c>
      <c r="D26" s="26"/>
      <c r="E26" s="65" t="s">
        <v>15</v>
      </c>
      <c r="F26" s="65"/>
      <c r="G26" s="20">
        <f>+G10+G22+G23+G25</f>
        <v>0</v>
      </c>
      <c r="H26" s="26"/>
      <c r="I26" s="65" t="s">
        <v>15</v>
      </c>
      <c r="J26" s="65"/>
      <c r="K26" s="20">
        <f>+K10+K22+K23+K25</f>
        <v>0</v>
      </c>
      <c r="L26" s="26"/>
      <c r="M26" s="65" t="s">
        <v>15</v>
      </c>
      <c r="N26" s="65"/>
      <c r="O26" s="20">
        <f>+O10+O22+O23+O25</f>
        <v>0</v>
      </c>
      <c r="P26" s="26"/>
      <c r="Q26" s="65" t="s">
        <v>15</v>
      </c>
      <c r="R26" s="65"/>
      <c r="S26" s="20">
        <f>+S10+S22+S23+S25</f>
        <v>0</v>
      </c>
      <c r="T26" s="26"/>
      <c r="U26" s="65" t="s">
        <v>15</v>
      </c>
      <c r="V26" s="65"/>
      <c r="W26" s="20">
        <f>+W10+W22+W23+W25</f>
        <v>0</v>
      </c>
      <c r="X26" s="26"/>
      <c r="Y26" s="65" t="s">
        <v>15</v>
      </c>
      <c r="Z26" s="65"/>
      <c r="AA26" s="20">
        <f>+AA10+AA22+AA23+AA25</f>
        <v>0</v>
      </c>
      <c r="AB26" s="26"/>
      <c r="AC26" s="65" t="s">
        <v>15</v>
      </c>
      <c r="AD26" s="65"/>
      <c r="AE26" s="20">
        <f>+AE10+AE22+AE23+AE25</f>
        <v>0</v>
      </c>
      <c r="AF26" s="26"/>
      <c r="AG26" s="65" t="s">
        <v>15</v>
      </c>
      <c r="AH26" s="65"/>
      <c r="AI26" s="20">
        <f>+AI10+AI22+AI23+AI25</f>
        <v>0</v>
      </c>
      <c r="AJ26" s="26"/>
    </row>
    <row r="27" spans="1:36" ht="6.75" customHeight="1" x14ac:dyDescent="0.25">
      <c r="A27" s="28"/>
      <c r="B27" s="29"/>
      <c r="C27" s="30"/>
      <c r="D27" s="26"/>
      <c r="E27" s="28"/>
      <c r="F27" s="29"/>
      <c r="G27" s="30"/>
      <c r="H27" s="26"/>
      <c r="I27" s="28"/>
      <c r="J27" s="29"/>
      <c r="K27" s="30"/>
      <c r="L27" s="26"/>
      <c r="M27" s="28"/>
      <c r="N27" s="29"/>
      <c r="O27" s="30"/>
      <c r="P27" s="26"/>
      <c r="Q27" s="28"/>
      <c r="R27" s="29"/>
      <c r="S27" s="30"/>
      <c r="T27" s="26"/>
      <c r="U27" s="28"/>
      <c r="V27" s="29"/>
      <c r="W27" s="30"/>
      <c r="X27" s="26"/>
      <c r="Y27" s="28"/>
      <c r="Z27" s="29"/>
      <c r="AA27" s="30"/>
      <c r="AB27" s="26"/>
      <c r="AC27" s="28"/>
      <c r="AD27" s="29"/>
      <c r="AE27" s="30"/>
      <c r="AF27" s="26"/>
      <c r="AG27" s="28"/>
      <c r="AH27" s="29"/>
      <c r="AI27" s="30"/>
      <c r="AJ27" s="26"/>
    </row>
    <row r="28" spans="1:36" x14ac:dyDescent="0.25">
      <c r="A28" s="67" t="str">
        <f>A1</f>
        <v>Week 28</v>
      </c>
      <c r="B28" s="67"/>
      <c r="C28" s="21">
        <f>+'1'!K18+'2'!K18+'3'!K18+'4'!K18+'5'!K18+'6'!K18+'7'!K18+'8'!K18+'9'!K18+'10'!K18+'11'!K18+'12'!K18+'13'!K18+'14'!K18+'15'!K18+'16'!K18+'18'!K18+'18'!K18+'18'!K18+'20'!K18</f>
        <v>0</v>
      </c>
      <c r="D28" s="26"/>
      <c r="E28" s="67" t="str">
        <f>E1</f>
        <v>Week 29</v>
      </c>
      <c r="F28" s="67"/>
      <c r="G28" s="21">
        <f>+'1'!L18+'2'!L18+'3'!L18+'4'!L18+'5'!L18+'6'!L18+'7'!L18+'8'!L18+'9'!L18+'10'!L18+'11'!L18+'12'!L18+'13'!L18+'14'!L18+'15'!L18+'16'!L18+'18'!L18+'18'!L18+'18'!L18+'20'!L18</f>
        <v>0</v>
      </c>
      <c r="H28" s="26"/>
      <c r="I28" s="67" t="str">
        <f>I1</f>
        <v>Week 30</v>
      </c>
      <c r="J28" s="67"/>
      <c r="K28" s="21">
        <f>+'1'!M18+'2'!M18+'3'!M18+'4'!M18+'5'!M18+'6'!M18+'7'!M18+'8'!M18+'9'!M18+'10'!M18+'11'!M18+'12'!M18+'13'!M18+'14'!M18+'15'!M18+'16'!M18+'18'!M18+'18'!M18+'18'!M18+'20'!M18</f>
        <v>0</v>
      </c>
      <c r="L28" s="26"/>
      <c r="M28" s="67" t="str">
        <f>M1</f>
        <v>Week 31</v>
      </c>
      <c r="N28" s="67"/>
      <c r="O28" s="21">
        <f>+'1'!N18+'2'!N18+'3'!N18+'4'!N18+'5'!N18+'6'!N18+'7'!N18+'8'!N18+'9'!N18+'10'!N18+'11'!N18+'12'!N18+'13'!N18+'14'!N18+'15'!N18+'16'!N18+'18'!N18+'18'!N18+'18'!N18+'20'!N18</f>
        <v>0</v>
      </c>
      <c r="P28" s="26"/>
      <c r="Q28" s="67" t="str">
        <f>Q1</f>
        <v>Week 32</v>
      </c>
      <c r="R28" s="67"/>
      <c r="S28" s="21">
        <f>+'1'!O18+'2'!O18+'3'!O18+'4'!O18+'5'!O18+'6'!O18+'7'!O18+'8'!O18+'9'!O18+'10'!O18+'11'!O18+'12'!O18+'13'!O18+'14'!O18+'15'!O18+'16'!O18+'18'!O18+'18'!O18+'18'!O18+'20'!O18</f>
        <v>0</v>
      </c>
      <c r="T28" s="26"/>
      <c r="U28" s="67" t="str">
        <f>U1</f>
        <v>Week 33</v>
      </c>
      <c r="V28" s="67"/>
      <c r="W28" s="21">
        <f>+'1'!P18+'2'!P18+'3'!P18+'4'!P18+'5'!P18+'6'!P18+'7'!P18+'8'!P18+'9'!P18+'10'!P18+'11'!P18+'12'!P18+'13'!P18+'14'!P18+'15'!P18+'16'!P18+'18'!P18+'18'!P18+'18'!P18+'20'!P18</f>
        <v>0</v>
      </c>
      <c r="X28" s="26"/>
      <c r="Y28" s="67" t="str">
        <f>Y1</f>
        <v>Week 34</v>
      </c>
      <c r="Z28" s="67"/>
      <c r="AA28" s="21">
        <f>+'1'!Q18+'2'!Q18+'3'!Q18+'4'!Q18+'5'!Q18+'6'!Q18+'7'!Q18+'8'!Q18+'9'!Q18+'10'!Q18+'11'!Q18+'12'!Q18+'13'!Q18+'14'!Q18+'15'!Q18+'16'!Q18+'18'!Q18+'18'!Q18+'18'!Q18+'20'!Q18</f>
        <v>0</v>
      </c>
      <c r="AB28" s="26"/>
      <c r="AC28" s="67" t="str">
        <f>AC1</f>
        <v>Week 35</v>
      </c>
      <c r="AD28" s="67"/>
      <c r="AE28" s="21">
        <f>+'1'!R18+'2'!R18+'3'!R18+'4'!R18+'5'!R18+'6'!R18+'7'!R18+'8'!R18+'9'!R18+'10'!R18+'11'!R18+'12'!R18+'13'!R18+'14'!R18+'15'!R18+'16'!R18+'18'!R18+'18'!R18+'18'!R18+'20'!R18</f>
        <v>0</v>
      </c>
      <c r="AF28" s="26"/>
      <c r="AG28" s="67" t="str">
        <f>AG1</f>
        <v>Week 36</v>
      </c>
      <c r="AH28" s="67"/>
      <c r="AI28" s="21">
        <f>+'1'!S18+'2'!S18+'3'!S18+'4'!S18+'5'!S18+'6'!S18+'7'!S18+'8'!S18+'9'!S18+'10'!S18+'11'!S18+'12'!S18+'13'!S18+'14'!S18+'15'!S18+'16'!S18+'18'!S18+'18'!S18+'18'!S18+'20'!S18</f>
        <v>0</v>
      </c>
      <c r="AJ28" s="26"/>
    </row>
    <row r="29" spans="1:36" x14ac:dyDescent="0.25">
      <c r="A29" s="68" t="s">
        <v>16</v>
      </c>
      <c r="B29" s="68"/>
      <c r="C29" s="21">
        <f>+C26-C28</f>
        <v>0</v>
      </c>
      <c r="D29" s="26"/>
      <c r="E29" s="68" t="s">
        <v>16</v>
      </c>
      <c r="F29" s="68"/>
      <c r="G29" s="21">
        <f>+G26-G28</f>
        <v>0</v>
      </c>
      <c r="H29" s="26"/>
      <c r="I29" s="68" t="s">
        <v>16</v>
      </c>
      <c r="J29" s="68"/>
      <c r="K29" s="21">
        <f>+K26-K28</f>
        <v>0</v>
      </c>
      <c r="L29" s="26"/>
      <c r="M29" s="68" t="s">
        <v>16</v>
      </c>
      <c r="N29" s="68"/>
      <c r="O29" s="21">
        <f>+O26-O28</f>
        <v>0</v>
      </c>
      <c r="P29" s="26"/>
      <c r="Q29" s="68" t="s">
        <v>16</v>
      </c>
      <c r="R29" s="68"/>
      <c r="S29" s="21">
        <f>+S26-S28</f>
        <v>0</v>
      </c>
      <c r="T29" s="26"/>
      <c r="U29" s="68" t="s">
        <v>16</v>
      </c>
      <c r="V29" s="68"/>
      <c r="W29" s="21">
        <f>+W26-W28</f>
        <v>0</v>
      </c>
      <c r="X29" s="26"/>
      <c r="Y29" s="68" t="s">
        <v>16</v>
      </c>
      <c r="Z29" s="68"/>
      <c r="AA29" s="21">
        <f>+AA26-AA28</f>
        <v>0</v>
      </c>
      <c r="AB29" s="26"/>
      <c r="AC29" s="68" t="s">
        <v>16</v>
      </c>
      <c r="AD29" s="68"/>
      <c r="AE29" s="21">
        <f>+AE26-AE28</f>
        <v>0</v>
      </c>
      <c r="AF29" s="26"/>
      <c r="AG29" s="68" t="s">
        <v>16</v>
      </c>
      <c r="AH29" s="68"/>
      <c r="AI29" s="21">
        <f>+AI26-AI28</f>
        <v>0</v>
      </c>
      <c r="AJ29" s="26"/>
    </row>
    <row r="30" spans="1:36" ht="6.75" customHeight="1" x14ac:dyDescent="0.25">
      <c r="A30" s="28"/>
      <c r="B30" s="29"/>
      <c r="C30" s="30"/>
      <c r="D30" s="30"/>
      <c r="E30" s="28"/>
      <c r="F30" s="29"/>
      <c r="G30" s="30"/>
      <c r="H30" s="30"/>
      <c r="I30" s="28"/>
      <c r="J30" s="29"/>
      <c r="K30" s="30"/>
      <c r="L30" s="30"/>
      <c r="M30" s="28"/>
      <c r="N30" s="29"/>
      <c r="O30" s="30"/>
      <c r="P30" s="30"/>
      <c r="Q30" s="28"/>
      <c r="R30" s="29"/>
      <c r="S30" s="30"/>
      <c r="T30" s="30"/>
      <c r="U30" s="28"/>
      <c r="V30" s="29"/>
      <c r="W30" s="30"/>
      <c r="X30" s="30"/>
      <c r="Y30" s="28"/>
      <c r="Z30" s="29"/>
      <c r="AA30" s="30"/>
      <c r="AB30" s="30"/>
      <c r="AC30" s="28"/>
      <c r="AD30" s="29"/>
      <c r="AE30" s="30"/>
      <c r="AF30" s="30"/>
      <c r="AG30" s="28"/>
      <c r="AH30" s="29"/>
      <c r="AI30" s="30"/>
      <c r="AJ30" s="30"/>
    </row>
    <row r="31" spans="1:36" ht="15.75" thickBot="1" x14ac:dyDescent="0.3"/>
    <row r="32" spans="1:36" ht="15.75" thickBot="1" x14ac:dyDescent="0.3">
      <c r="A32" s="63" t="s">
        <v>17</v>
      </c>
      <c r="B32" s="64"/>
      <c r="C32" s="39"/>
      <c r="E32" s="63" t="s">
        <v>17</v>
      </c>
      <c r="F32" s="64"/>
      <c r="G32" s="39"/>
      <c r="I32" s="63" t="s">
        <v>17</v>
      </c>
      <c r="J32" s="64"/>
      <c r="K32" s="39"/>
      <c r="M32" s="63" t="s">
        <v>17</v>
      </c>
      <c r="N32" s="64"/>
      <c r="O32" s="39"/>
      <c r="Q32" s="63" t="s">
        <v>17</v>
      </c>
      <c r="R32" s="64"/>
      <c r="S32" s="39"/>
      <c r="U32" s="63" t="s">
        <v>17</v>
      </c>
      <c r="V32" s="64"/>
      <c r="W32" s="39"/>
      <c r="Y32" s="63" t="s">
        <v>17</v>
      </c>
      <c r="Z32" s="64"/>
      <c r="AA32" s="39"/>
      <c r="AC32" s="63" t="s">
        <v>17</v>
      </c>
      <c r="AD32" s="64"/>
      <c r="AE32" s="39"/>
      <c r="AG32" s="63" t="s">
        <v>17</v>
      </c>
      <c r="AH32" s="64"/>
      <c r="AI32" s="39"/>
    </row>
  </sheetData>
  <mergeCells count="90">
    <mergeCell ref="Y1:AA1"/>
    <mergeCell ref="AC1:AE1"/>
    <mergeCell ref="AG1:AI1"/>
    <mergeCell ref="A2:C2"/>
    <mergeCell ref="E2:G2"/>
    <mergeCell ref="I2:K2"/>
    <mergeCell ref="M2:O2"/>
    <mergeCell ref="Q2:S2"/>
    <mergeCell ref="U2:W2"/>
    <mergeCell ref="Y2:AA2"/>
    <mergeCell ref="A1:C1"/>
    <mergeCell ref="E1:G1"/>
    <mergeCell ref="I1:K1"/>
    <mergeCell ref="M1:O1"/>
    <mergeCell ref="Q1:S1"/>
    <mergeCell ref="U1:W1"/>
    <mergeCell ref="AC2:AE2"/>
    <mergeCell ref="AG2:AI2"/>
    <mergeCell ref="A11:C11"/>
    <mergeCell ref="E11:G11"/>
    <mergeCell ref="I11:K11"/>
    <mergeCell ref="M11:O11"/>
    <mergeCell ref="Q11:S11"/>
    <mergeCell ref="U11:W11"/>
    <mergeCell ref="Y11:AA11"/>
    <mergeCell ref="AC11:AE11"/>
    <mergeCell ref="AG11:AI11"/>
    <mergeCell ref="A23:B23"/>
    <mergeCell ref="E23:F23"/>
    <mergeCell ref="I23:J23"/>
    <mergeCell ref="M23:N23"/>
    <mergeCell ref="Q23:R23"/>
    <mergeCell ref="U23:V23"/>
    <mergeCell ref="Y23:Z23"/>
    <mergeCell ref="AC23:AD23"/>
    <mergeCell ref="AG23:AH23"/>
    <mergeCell ref="Y24:Z24"/>
    <mergeCell ref="AC24:AD24"/>
    <mergeCell ref="AG24:AH24"/>
    <mergeCell ref="U25:V25"/>
    <mergeCell ref="Y25:Z25"/>
    <mergeCell ref="A24:B24"/>
    <mergeCell ref="E24:F24"/>
    <mergeCell ref="I24:J24"/>
    <mergeCell ref="M24:N24"/>
    <mergeCell ref="Q24:R24"/>
    <mergeCell ref="U24:V24"/>
    <mergeCell ref="A25:B25"/>
    <mergeCell ref="E25:F25"/>
    <mergeCell ref="I25:J25"/>
    <mergeCell ref="M25:N25"/>
    <mergeCell ref="Q25:R25"/>
    <mergeCell ref="Y28:Z28"/>
    <mergeCell ref="AC28:AD28"/>
    <mergeCell ref="AG28:AH28"/>
    <mergeCell ref="AC25:AD25"/>
    <mergeCell ref="AG25:AH25"/>
    <mergeCell ref="Y26:Z26"/>
    <mergeCell ref="AC26:AD26"/>
    <mergeCell ref="AG26:AH26"/>
    <mergeCell ref="U28:V28"/>
    <mergeCell ref="A26:B26"/>
    <mergeCell ref="E26:F26"/>
    <mergeCell ref="I26:J26"/>
    <mergeCell ref="M26:N26"/>
    <mergeCell ref="Q26:R26"/>
    <mergeCell ref="U26:V26"/>
    <mergeCell ref="M29:N29"/>
    <mergeCell ref="Q29:R29"/>
    <mergeCell ref="A28:B28"/>
    <mergeCell ref="E28:F28"/>
    <mergeCell ref="I28:J28"/>
    <mergeCell ref="M28:N28"/>
    <mergeCell ref="Q28:R28"/>
    <mergeCell ref="AG32:AH32"/>
    <mergeCell ref="AC29:AD29"/>
    <mergeCell ref="AG29:AH29"/>
    <mergeCell ref="A32:B32"/>
    <mergeCell ref="E32:F32"/>
    <mergeCell ref="I32:J32"/>
    <mergeCell ref="M32:N32"/>
    <mergeCell ref="Q32:R32"/>
    <mergeCell ref="U32:V32"/>
    <mergeCell ref="Y32:Z32"/>
    <mergeCell ref="AC32:AD32"/>
    <mergeCell ref="U29:V29"/>
    <mergeCell ref="Y29:Z29"/>
    <mergeCell ref="A29:B29"/>
    <mergeCell ref="E29:F29"/>
    <mergeCell ref="I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0D4E-3378-4CEC-A569-B5E5F102FF74}">
  <sheetPr codeName="Sheet25"/>
  <dimension ref="B2:L28"/>
  <sheetViews>
    <sheetView topLeftCell="D1" workbookViewId="0">
      <selection activeCell="D20" sqref="D20"/>
    </sheetView>
  </sheetViews>
  <sheetFormatPr defaultRowHeight="15" x14ac:dyDescent="0.25"/>
  <cols>
    <col min="2" max="2" width="11.28515625" bestFit="1" customWidth="1"/>
    <col min="3" max="5" width="12.140625" customWidth="1"/>
    <col min="6" max="6" width="71.7109375" customWidth="1"/>
    <col min="7" max="8" width="11.28515625" bestFit="1" customWidth="1"/>
    <col min="9" max="11" width="12.140625" customWidth="1"/>
    <col min="12" max="12" width="71.7109375" customWidth="1"/>
    <col min="13" max="13" width="11.28515625" bestFit="1" customWidth="1"/>
    <col min="14" max="16" width="12.140625" customWidth="1"/>
  </cols>
  <sheetData>
    <row r="2" spans="2:12" x14ac:dyDescent="0.25">
      <c r="B2" s="73" t="s">
        <v>130</v>
      </c>
      <c r="C2" s="73"/>
      <c r="D2" s="73"/>
      <c r="E2" s="73"/>
      <c r="H2" s="73" t="s">
        <v>132</v>
      </c>
      <c r="I2" s="73"/>
      <c r="J2" s="73"/>
      <c r="K2" s="73"/>
    </row>
    <row r="3" spans="2:12" ht="15.75" thickBot="1" x14ac:dyDescent="0.3">
      <c r="B3" s="1" t="s">
        <v>134</v>
      </c>
      <c r="C3" s="1" t="s">
        <v>128</v>
      </c>
      <c r="D3" s="1" t="s">
        <v>129</v>
      </c>
      <c r="E3" s="1" t="s">
        <v>10</v>
      </c>
      <c r="F3" s="1" t="s">
        <v>144</v>
      </c>
      <c r="H3" s="1" t="s">
        <v>134</v>
      </c>
      <c r="I3" s="1" t="s">
        <v>128</v>
      </c>
      <c r="J3" s="1" t="s">
        <v>129</v>
      </c>
      <c r="K3" s="1" t="s">
        <v>10</v>
      </c>
      <c r="L3" s="1" t="s">
        <v>144</v>
      </c>
    </row>
    <row r="4" spans="2:12" x14ac:dyDescent="0.25">
      <c r="B4" s="40">
        <v>1</v>
      </c>
      <c r="C4" s="59"/>
      <c r="D4" s="60">
        <v>3397.75</v>
      </c>
      <c r="E4" s="48">
        <f>C4+D4</f>
        <v>3397.75</v>
      </c>
      <c r="F4" s="55" t="s">
        <v>145</v>
      </c>
      <c r="H4" s="40">
        <f>B26+1</f>
        <v>19</v>
      </c>
      <c r="I4" s="59"/>
      <c r="J4" s="60"/>
      <c r="K4" s="43">
        <f>I4+J4</f>
        <v>0</v>
      </c>
      <c r="L4" s="55"/>
    </row>
    <row r="5" spans="2:12" x14ac:dyDescent="0.25">
      <c r="B5" s="41">
        <v>2</v>
      </c>
      <c r="C5" s="61">
        <v>-1060</v>
      </c>
      <c r="D5" s="62">
        <v>1977</v>
      </c>
      <c r="E5" s="49">
        <f t="shared" ref="E5:E12" si="0">C5+D5</f>
        <v>917</v>
      </c>
      <c r="F5" s="56" t="s">
        <v>151</v>
      </c>
      <c r="H5" s="41">
        <f>H4+1</f>
        <v>20</v>
      </c>
      <c r="I5" s="61"/>
      <c r="J5" s="62"/>
      <c r="K5" s="44">
        <f t="shared" ref="K5:K12" si="1">I5+J5</f>
        <v>0</v>
      </c>
      <c r="L5" s="56"/>
    </row>
    <row r="6" spans="2:12" x14ac:dyDescent="0.25">
      <c r="B6" s="41">
        <v>3</v>
      </c>
      <c r="C6" s="61">
        <f>-1139.5-42</f>
        <v>-1181.5</v>
      </c>
      <c r="D6" s="62">
        <v>2427.5</v>
      </c>
      <c r="E6" s="49">
        <f t="shared" si="0"/>
        <v>1246</v>
      </c>
      <c r="F6" s="56" t="s">
        <v>161</v>
      </c>
      <c r="H6" s="41">
        <f t="shared" ref="H6:H12" si="2">H5+1</f>
        <v>21</v>
      </c>
      <c r="I6" s="61"/>
      <c r="J6" s="62"/>
      <c r="K6" s="44">
        <f t="shared" si="1"/>
        <v>0</v>
      </c>
      <c r="L6" s="56"/>
    </row>
    <row r="7" spans="2:12" x14ac:dyDescent="0.25">
      <c r="B7" s="41">
        <v>4</v>
      </c>
      <c r="C7" s="61">
        <v>-1192.5</v>
      </c>
      <c r="D7" s="62">
        <v>4486.25</v>
      </c>
      <c r="E7" s="49">
        <f t="shared" si="0"/>
        <v>3293.75</v>
      </c>
      <c r="F7" s="56" t="s">
        <v>167</v>
      </c>
      <c r="H7" s="41">
        <f t="shared" si="2"/>
        <v>22</v>
      </c>
      <c r="I7" s="61"/>
      <c r="J7" s="62"/>
      <c r="K7" s="44">
        <f t="shared" si="1"/>
        <v>0</v>
      </c>
      <c r="L7" s="56"/>
    </row>
    <row r="8" spans="2:12" x14ac:dyDescent="0.25">
      <c r="B8" s="41">
        <v>5</v>
      </c>
      <c r="C8" s="61">
        <v>-1192.5</v>
      </c>
      <c r="D8" s="62">
        <v>3692.75</v>
      </c>
      <c r="E8" s="49">
        <f t="shared" si="0"/>
        <v>2500.25</v>
      </c>
      <c r="F8" s="56" t="s">
        <v>167</v>
      </c>
      <c r="H8" s="41">
        <f t="shared" si="2"/>
        <v>23</v>
      </c>
      <c r="I8" s="61"/>
      <c r="J8" s="62"/>
      <c r="K8" s="44">
        <f t="shared" si="1"/>
        <v>0</v>
      </c>
      <c r="L8" s="56"/>
    </row>
    <row r="9" spans="2:12" x14ac:dyDescent="0.25">
      <c r="B9" s="41">
        <v>6</v>
      </c>
      <c r="C9" s="61">
        <v>-1113</v>
      </c>
      <c r="D9" s="62">
        <v>3198.25</v>
      </c>
      <c r="E9" s="49">
        <f t="shared" si="0"/>
        <v>2085.25</v>
      </c>
      <c r="F9" s="56" t="s">
        <v>168</v>
      </c>
      <c r="H9" s="41">
        <f t="shared" si="2"/>
        <v>24</v>
      </c>
      <c r="I9" s="61"/>
      <c r="J9" s="62"/>
      <c r="K9" s="44">
        <f t="shared" si="1"/>
        <v>0</v>
      </c>
      <c r="L9" s="56"/>
    </row>
    <row r="10" spans="2:12" x14ac:dyDescent="0.25">
      <c r="B10" s="41">
        <v>7</v>
      </c>
      <c r="C10" s="61">
        <v>-1113</v>
      </c>
      <c r="D10" s="62">
        <v>1935.7</v>
      </c>
      <c r="E10" s="49">
        <f t="shared" si="0"/>
        <v>822.7</v>
      </c>
      <c r="F10" s="56" t="s">
        <v>169</v>
      </c>
      <c r="H10" s="41">
        <f t="shared" si="2"/>
        <v>25</v>
      </c>
      <c r="I10" s="61"/>
      <c r="J10" s="62"/>
      <c r="K10" s="44">
        <f t="shared" si="1"/>
        <v>0</v>
      </c>
      <c r="L10" s="56"/>
    </row>
    <row r="11" spans="2:12" x14ac:dyDescent="0.25">
      <c r="B11" s="41">
        <v>8</v>
      </c>
      <c r="C11" s="61">
        <v>-1046.75</v>
      </c>
      <c r="D11" s="62">
        <v>3208</v>
      </c>
      <c r="E11" s="49">
        <f t="shared" si="0"/>
        <v>2161.25</v>
      </c>
      <c r="F11" s="56" t="s">
        <v>175</v>
      </c>
      <c r="H11" s="41">
        <f t="shared" si="2"/>
        <v>26</v>
      </c>
      <c r="I11" s="61"/>
      <c r="J11" s="62"/>
      <c r="K11" s="44">
        <f t="shared" si="1"/>
        <v>0</v>
      </c>
      <c r="L11" s="56"/>
    </row>
    <row r="12" spans="2:12" x14ac:dyDescent="0.25">
      <c r="B12" s="41">
        <v>9</v>
      </c>
      <c r="C12" s="61">
        <v>1033.5</v>
      </c>
      <c r="D12" s="62">
        <v>1927.5</v>
      </c>
      <c r="E12" s="49">
        <f t="shared" si="0"/>
        <v>2961</v>
      </c>
      <c r="F12" s="56" t="s">
        <v>174</v>
      </c>
      <c r="H12" s="41">
        <f t="shared" si="2"/>
        <v>27</v>
      </c>
      <c r="I12" s="61"/>
      <c r="J12" s="62"/>
      <c r="K12" s="44">
        <f t="shared" si="1"/>
        <v>0</v>
      </c>
      <c r="L12" s="56"/>
    </row>
    <row r="13" spans="2:12" ht="6.75" customHeight="1" x14ac:dyDescent="0.25">
      <c r="B13" s="42"/>
      <c r="C13" s="53"/>
      <c r="D13" s="45"/>
      <c r="E13" s="47"/>
      <c r="F13" s="57"/>
      <c r="H13" s="42"/>
      <c r="I13" s="53"/>
      <c r="J13" s="45"/>
      <c r="K13" s="45"/>
      <c r="L13" s="51"/>
    </row>
    <row r="14" spans="2:12" ht="15.75" thickBot="1" x14ac:dyDescent="0.3">
      <c r="B14" s="52" t="s">
        <v>10</v>
      </c>
      <c r="C14" s="54">
        <f>SUM(C4:C12)</f>
        <v>-6865.75</v>
      </c>
      <c r="D14" s="46">
        <f>SUM(D4:D12)</f>
        <v>26250.7</v>
      </c>
      <c r="E14" s="50">
        <f>C14+D14</f>
        <v>19384.95</v>
      </c>
      <c r="F14" s="58"/>
      <c r="H14" s="52" t="s">
        <v>10</v>
      </c>
      <c r="I14" s="54">
        <f>SUM(I4:I12)</f>
        <v>0</v>
      </c>
      <c r="J14" s="46">
        <f>SUM(J4:J12)</f>
        <v>0</v>
      </c>
      <c r="K14" s="46">
        <f>I14+J14</f>
        <v>0</v>
      </c>
      <c r="L14" s="58"/>
    </row>
    <row r="16" spans="2:12" x14ac:dyDescent="0.25">
      <c r="B16" s="73" t="s">
        <v>131</v>
      </c>
      <c r="C16" s="73"/>
      <c r="D16" s="73"/>
      <c r="E16" s="73"/>
      <c r="H16" s="73" t="s">
        <v>133</v>
      </c>
      <c r="I16" s="73"/>
      <c r="J16" s="73"/>
      <c r="K16" s="73"/>
    </row>
    <row r="17" spans="2:12" ht="15.75" thickBot="1" x14ac:dyDescent="0.3">
      <c r="B17" s="1" t="s">
        <v>134</v>
      </c>
      <c r="C17" s="1" t="s">
        <v>128</v>
      </c>
      <c r="D17" s="1" t="s">
        <v>129</v>
      </c>
      <c r="E17" s="1" t="s">
        <v>10</v>
      </c>
      <c r="F17" s="1" t="s">
        <v>144</v>
      </c>
      <c r="H17" s="1" t="s">
        <v>134</v>
      </c>
      <c r="I17" s="1" t="s">
        <v>128</v>
      </c>
      <c r="J17" s="1" t="s">
        <v>129</v>
      </c>
      <c r="K17" s="1" t="s">
        <v>10</v>
      </c>
      <c r="L17" s="1" t="s">
        <v>144</v>
      </c>
    </row>
    <row r="18" spans="2:12" x14ac:dyDescent="0.25">
      <c r="B18" s="40">
        <f>B12+1</f>
        <v>10</v>
      </c>
      <c r="C18" s="59"/>
      <c r="D18" s="60"/>
      <c r="E18" s="43">
        <f>C18+D18</f>
        <v>0</v>
      </c>
      <c r="F18" s="55" t="s">
        <v>172</v>
      </c>
      <c r="H18" s="40">
        <f>H12+1</f>
        <v>28</v>
      </c>
      <c r="I18" s="59"/>
      <c r="J18" s="60"/>
      <c r="K18" s="43">
        <f>I18+J18</f>
        <v>0</v>
      </c>
      <c r="L18" s="55"/>
    </row>
    <row r="19" spans="2:12" x14ac:dyDescent="0.25">
      <c r="B19" s="41">
        <f>B18+1</f>
        <v>11</v>
      </c>
      <c r="C19" s="61"/>
      <c r="D19" s="62"/>
      <c r="E19" s="44">
        <f t="shared" ref="E19:E26" si="3">C19+D19</f>
        <v>0</v>
      </c>
      <c r="F19" s="56" t="s">
        <v>171</v>
      </c>
      <c r="H19" s="41">
        <f>H18+1</f>
        <v>29</v>
      </c>
      <c r="I19" s="61"/>
      <c r="J19" s="62"/>
      <c r="K19" s="44">
        <f t="shared" ref="K19:K26" si="4">I19+J19</f>
        <v>0</v>
      </c>
      <c r="L19" s="56"/>
    </row>
    <row r="20" spans="2:12" x14ac:dyDescent="0.25">
      <c r="B20" s="41">
        <f t="shared" ref="B20:B26" si="5">B19+1</f>
        <v>12</v>
      </c>
      <c r="C20" s="61"/>
      <c r="D20" s="62"/>
      <c r="E20" s="44">
        <f t="shared" si="3"/>
        <v>0</v>
      </c>
      <c r="F20" s="56" t="s">
        <v>173</v>
      </c>
      <c r="H20" s="41">
        <f t="shared" ref="H20:H26" si="6">H19+1</f>
        <v>30</v>
      </c>
      <c r="I20" s="61"/>
      <c r="J20" s="62"/>
      <c r="K20" s="44">
        <f t="shared" si="4"/>
        <v>0</v>
      </c>
      <c r="L20" s="56"/>
    </row>
    <row r="21" spans="2:12" x14ac:dyDescent="0.25">
      <c r="B21" s="41">
        <f t="shared" si="5"/>
        <v>13</v>
      </c>
      <c r="C21" s="61"/>
      <c r="D21" s="62"/>
      <c r="E21" s="44">
        <f t="shared" si="3"/>
        <v>0</v>
      </c>
      <c r="F21" s="56"/>
      <c r="H21" s="41">
        <f t="shared" si="6"/>
        <v>31</v>
      </c>
      <c r="I21" s="61"/>
      <c r="J21" s="62"/>
      <c r="K21" s="44">
        <f t="shared" si="4"/>
        <v>0</v>
      </c>
      <c r="L21" s="56"/>
    </row>
    <row r="22" spans="2:12" x14ac:dyDescent="0.25">
      <c r="B22" s="41">
        <f t="shared" si="5"/>
        <v>14</v>
      </c>
      <c r="C22" s="61"/>
      <c r="D22" s="62"/>
      <c r="E22" s="44">
        <f t="shared" si="3"/>
        <v>0</v>
      </c>
      <c r="F22" s="56"/>
      <c r="H22" s="41">
        <f t="shared" si="6"/>
        <v>32</v>
      </c>
      <c r="I22" s="61"/>
      <c r="J22" s="62"/>
      <c r="K22" s="44">
        <f t="shared" si="4"/>
        <v>0</v>
      </c>
      <c r="L22" s="56"/>
    </row>
    <row r="23" spans="2:12" x14ac:dyDescent="0.25">
      <c r="B23" s="41">
        <f t="shared" si="5"/>
        <v>15</v>
      </c>
      <c r="C23" s="61"/>
      <c r="D23" s="62"/>
      <c r="E23" s="44">
        <f t="shared" si="3"/>
        <v>0</v>
      </c>
      <c r="F23" s="56"/>
      <c r="H23" s="41">
        <f t="shared" si="6"/>
        <v>33</v>
      </c>
      <c r="I23" s="61"/>
      <c r="J23" s="62"/>
      <c r="K23" s="44">
        <f t="shared" si="4"/>
        <v>0</v>
      </c>
      <c r="L23" s="56"/>
    </row>
    <row r="24" spans="2:12" x14ac:dyDescent="0.25">
      <c r="B24" s="41">
        <f t="shared" si="5"/>
        <v>16</v>
      </c>
      <c r="C24" s="61"/>
      <c r="D24" s="62"/>
      <c r="E24" s="44">
        <f t="shared" si="3"/>
        <v>0</v>
      </c>
      <c r="F24" s="56"/>
      <c r="H24" s="41">
        <f t="shared" si="6"/>
        <v>34</v>
      </c>
      <c r="I24" s="61"/>
      <c r="J24" s="62"/>
      <c r="K24" s="44">
        <f t="shared" si="4"/>
        <v>0</v>
      </c>
      <c r="L24" s="56"/>
    </row>
    <row r="25" spans="2:12" x14ac:dyDescent="0.25">
      <c r="B25" s="41">
        <f t="shared" si="5"/>
        <v>17</v>
      </c>
      <c r="C25" s="61"/>
      <c r="D25" s="62"/>
      <c r="E25" s="44">
        <f t="shared" si="3"/>
        <v>0</v>
      </c>
      <c r="F25" s="56"/>
      <c r="H25" s="41">
        <f t="shared" si="6"/>
        <v>35</v>
      </c>
      <c r="I25" s="61"/>
      <c r="J25" s="62"/>
      <c r="K25" s="44">
        <f t="shared" si="4"/>
        <v>0</v>
      </c>
      <c r="L25" s="56"/>
    </row>
    <row r="26" spans="2:12" x14ac:dyDescent="0.25">
      <c r="B26" s="41">
        <f t="shared" si="5"/>
        <v>18</v>
      </c>
      <c r="C26" s="61"/>
      <c r="D26" s="62"/>
      <c r="E26" s="44">
        <f t="shared" si="3"/>
        <v>0</v>
      </c>
      <c r="F26" s="56"/>
      <c r="H26" s="41">
        <f t="shared" si="6"/>
        <v>36</v>
      </c>
      <c r="I26" s="61"/>
      <c r="J26" s="62"/>
      <c r="K26" s="44">
        <f t="shared" si="4"/>
        <v>0</v>
      </c>
      <c r="L26" s="56"/>
    </row>
    <row r="27" spans="2:12" ht="6.75" customHeight="1" x14ac:dyDescent="0.25">
      <c r="B27" s="42"/>
      <c r="C27" s="53"/>
      <c r="D27" s="45"/>
      <c r="E27" s="47"/>
      <c r="F27" s="57"/>
      <c r="H27" s="42"/>
      <c r="I27" s="53"/>
      <c r="J27" s="45"/>
      <c r="K27" s="45"/>
      <c r="L27" s="51"/>
    </row>
    <row r="28" spans="2:12" ht="15.75" thickBot="1" x14ac:dyDescent="0.3">
      <c r="B28" s="52" t="s">
        <v>10</v>
      </c>
      <c r="C28" s="54">
        <f>SUM(C18:C26)</f>
        <v>0</v>
      </c>
      <c r="D28" s="46">
        <f>SUM(D18:D26)</f>
        <v>0</v>
      </c>
      <c r="E28" s="46">
        <f>C28+D28</f>
        <v>0</v>
      </c>
      <c r="F28" s="58"/>
      <c r="H28" s="52" t="s">
        <v>10</v>
      </c>
      <c r="I28" s="54">
        <f>SUM(I18:I26)</f>
        <v>0</v>
      </c>
      <c r="J28" s="46">
        <f>SUM(J18:J26)</f>
        <v>0</v>
      </c>
      <c r="K28" s="46">
        <f>I28+J28</f>
        <v>0</v>
      </c>
      <c r="L28" s="58"/>
    </row>
  </sheetData>
  <sheetProtection algorithmName="SHA-512" hashValue="+UsMPUN8ntTl0cEVULHgRDh7zFJXhIgOoWl5iEiD9N+CYvwcWcFjnc/7lvPlO2Y8a8BsZD/vdX09jaFyaiVdJg==" saltValue="pBsWXRGSvrtv60rRjh8CZw==" spinCount="100000" sheet="1" objects="1" scenarios="1" selectLockedCells="1"/>
  <mergeCells count="4">
    <mergeCell ref="B2:E2"/>
    <mergeCell ref="B16:E16"/>
    <mergeCell ref="H2:K2"/>
    <mergeCell ref="H16:K16"/>
  </mergeCells>
  <pageMargins left="0.7" right="0.7" top="0.75" bottom="0.75" header="0.3" footer="0.3"/>
  <ignoredErrors>
    <ignoredError sqref="I28:J28 I14 C14 C28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C8BB-9E89-40F4-AA86-B7CAC6EADB9D}">
  <sheetPr codeName="Sheet5"/>
  <dimension ref="A1:U27"/>
  <sheetViews>
    <sheetView workbookViewId="0">
      <selection activeCell="S5" sqref="S5"/>
    </sheetView>
  </sheetViews>
  <sheetFormatPr defaultRowHeight="15" x14ac:dyDescent="0.25"/>
  <cols>
    <col min="1" max="1" width="14.285156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39</v>
      </c>
      <c r="B2" s="36">
        <v>30</v>
      </c>
      <c r="C2" s="36"/>
      <c r="D2" s="36">
        <v>100</v>
      </c>
      <c r="E2" s="36"/>
      <c r="F2" s="36">
        <v>60</v>
      </c>
      <c r="G2" s="36"/>
      <c r="H2" s="36"/>
      <c r="I2" s="36"/>
      <c r="J2" s="36">
        <v>30</v>
      </c>
      <c r="K2" s="36">
        <v>30</v>
      </c>
      <c r="L2" s="36"/>
      <c r="M2" s="36"/>
      <c r="O2" s="36"/>
      <c r="P2" s="36"/>
      <c r="Q2" s="36"/>
      <c r="R2" s="36"/>
      <c r="S2" s="36">
        <v>60</v>
      </c>
      <c r="T2" s="8">
        <f>SUM(B2:S2)</f>
        <v>310</v>
      </c>
    </row>
    <row r="3" spans="1:20" x14ac:dyDescent="0.25">
      <c r="A3" s="35" t="s">
        <v>40</v>
      </c>
      <c r="B3" s="36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0</v>
      </c>
    </row>
    <row r="4" spans="1:20" x14ac:dyDescent="0.25">
      <c r="A4" s="35" t="s">
        <v>41</v>
      </c>
      <c r="B4" s="36">
        <v>30</v>
      </c>
      <c r="C4" s="36">
        <v>40</v>
      </c>
      <c r="D4" s="36">
        <v>90</v>
      </c>
      <c r="E4" s="36">
        <v>30</v>
      </c>
      <c r="F4" s="36">
        <v>30</v>
      </c>
      <c r="G4" s="36">
        <v>30</v>
      </c>
      <c r="H4" s="36"/>
      <c r="I4" s="36">
        <v>60</v>
      </c>
      <c r="J4" s="36"/>
      <c r="K4" s="36"/>
      <c r="L4" s="36"/>
      <c r="M4" s="36"/>
      <c r="N4" s="36">
        <v>60</v>
      </c>
      <c r="O4" s="36">
        <v>60</v>
      </c>
      <c r="P4" s="36">
        <v>60</v>
      </c>
      <c r="Q4" s="36"/>
      <c r="R4" s="36">
        <v>30</v>
      </c>
      <c r="S4" s="36">
        <v>60</v>
      </c>
      <c r="T4" s="8">
        <f t="shared" si="0"/>
        <v>580</v>
      </c>
    </row>
    <row r="5" spans="1:20" x14ac:dyDescent="0.25">
      <c r="A5" s="35" t="s">
        <v>42</v>
      </c>
      <c r="B5" s="36">
        <v>30</v>
      </c>
      <c r="C5" s="36"/>
      <c r="D5" s="36">
        <v>60</v>
      </c>
      <c r="E5" s="36">
        <v>30</v>
      </c>
      <c r="F5" s="36">
        <v>60</v>
      </c>
      <c r="G5" s="36">
        <v>60</v>
      </c>
      <c r="H5" s="36"/>
      <c r="I5" s="36"/>
      <c r="J5" s="36">
        <v>100</v>
      </c>
      <c r="K5" s="36"/>
      <c r="L5" s="36"/>
      <c r="M5" s="36"/>
      <c r="N5" s="36">
        <v>60</v>
      </c>
      <c r="O5" s="36">
        <v>100</v>
      </c>
      <c r="P5" s="36"/>
      <c r="Q5" s="36">
        <v>60</v>
      </c>
      <c r="R5" s="36"/>
      <c r="S5" s="36"/>
      <c r="T5" s="8">
        <f t="shared" si="0"/>
        <v>560</v>
      </c>
    </row>
    <row r="6" spans="1:20" x14ac:dyDescent="0.25">
      <c r="A6" s="35" t="s">
        <v>43</v>
      </c>
      <c r="B6" s="36">
        <v>0</v>
      </c>
      <c r="C6" s="36">
        <v>120</v>
      </c>
      <c r="D6" s="36"/>
      <c r="E6" s="36"/>
      <c r="F6" s="36">
        <v>180</v>
      </c>
      <c r="G6" s="36"/>
      <c r="H6" s="36"/>
      <c r="I6" s="36"/>
      <c r="J6" s="36"/>
      <c r="K6" s="36"/>
      <c r="L6" s="36">
        <v>90</v>
      </c>
      <c r="M6" s="36"/>
      <c r="N6" s="36"/>
      <c r="O6" s="36"/>
      <c r="P6" s="36">
        <v>90</v>
      </c>
      <c r="Q6" s="36"/>
      <c r="R6" s="36"/>
      <c r="S6" s="36"/>
      <c r="T6" s="8">
        <f t="shared" si="0"/>
        <v>480</v>
      </c>
    </row>
    <row r="7" spans="1:20" x14ac:dyDescent="0.2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>
        <v>5</v>
      </c>
      <c r="D8" s="36"/>
      <c r="E8" s="36"/>
      <c r="F8" s="36"/>
      <c r="G8" s="36"/>
      <c r="H8" s="36"/>
      <c r="I8" s="36"/>
      <c r="J8" s="36"/>
      <c r="K8" s="36"/>
      <c r="L8" s="36"/>
      <c r="M8" s="36">
        <v>5</v>
      </c>
      <c r="N8" s="36"/>
      <c r="O8" s="36"/>
      <c r="P8" s="36"/>
      <c r="Q8" s="36">
        <v>5</v>
      </c>
      <c r="R8" s="36"/>
      <c r="S8" s="36"/>
      <c r="T8" s="8">
        <f t="shared" si="0"/>
        <v>15</v>
      </c>
    </row>
    <row r="9" spans="1:20" x14ac:dyDescent="0.25">
      <c r="A9" s="9"/>
      <c r="B9" s="2">
        <f>SUM(B2:B8)</f>
        <v>90</v>
      </c>
      <c r="C9" s="2">
        <f t="shared" ref="C9:T9" si="1">SUM(C2:C8)</f>
        <v>165</v>
      </c>
      <c r="D9" s="2">
        <f t="shared" si="1"/>
        <v>250</v>
      </c>
      <c r="E9" s="2">
        <f t="shared" si="1"/>
        <v>60</v>
      </c>
      <c r="F9" s="2">
        <f>SUM(F2:F8)</f>
        <v>330</v>
      </c>
      <c r="G9" s="2">
        <f t="shared" si="1"/>
        <v>90</v>
      </c>
      <c r="H9" s="2">
        <f t="shared" si="1"/>
        <v>0</v>
      </c>
      <c r="I9" s="2">
        <f t="shared" si="1"/>
        <v>60</v>
      </c>
      <c r="J9" s="2">
        <f t="shared" si="1"/>
        <v>130</v>
      </c>
      <c r="K9" s="2">
        <f t="shared" si="1"/>
        <v>30</v>
      </c>
      <c r="L9" s="2">
        <f t="shared" si="1"/>
        <v>90</v>
      </c>
      <c r="M9" s="2">
        <f t="shared" si="1"/>
        <v>5</v>
      </c>
      <c r="N9" s="2">
        <f t="shared" si="1"/>
        <v>120</v>
      </c>
      <c r="O9" s="2">
        <f t="shared" si="1"/>
        <v>160</v>
      </c>
      <c r="P9" s="2">
        <f t="shared" si="1"/>
        <v>150</v>
      </c>
      <c r="Q9" s="2">
        <f t="shared" si="1"/>
        <v>65</v>
      </c>
      <c r="R9" s="2">
        <f t="shared" si="1"/>
        <v>30</v>
      </c>
      <c r="S9" s="2">
        <f t="shared" si="1"/>
        <v>120</v>
      </c>
      <c r="T9" s="22">
        <f t="shared" si="1"/>
        <v>1945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39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 t="s">
        <v>40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41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42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 t="s">
        <v>43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6" t="s">
        <v>39</v>
      </c>
      <c r="B21" s="7">
        <f>(36*30)+10</f>
        <v>1090</v>
      </c>
      <c r="C21" s="7">
        <f>+T2+T11</f>
        <v>310</v>
      </c>
      <c r="D21" s="7">
        <f t="shared" ref="D21:D26" si="4">+B21-C21</f>
        <v>780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6" t="s">
        <v>40</v>
      </c>
      <c r="B22" s="7">
        <f>(36*30)+10-477</f>
        <v>613</v>
      </c>
      <c r="C22" s="7">
        <f>+T3+T12</f>
        <v>0</v>
      </c>
      <c r="D22" s="7">
        <f t="shared" si="4"/>
        <v>613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6" t="s">
        <v>41</v>
      </c>
      <c r="B23" s="7">
        <f>(36*30)+10</f>
        <v>1090</v>
      </c>
      <c r="C23" s="7">
        <f>+T4+T13</f>
        <v>580</v>
      </c>
      <c r="D23" s="7">
        <f t="shared" si="4"/>
        <v>510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6" t="s">
        <v>42</v>
      </c>
      <c r="B24" s="7">
        <f>(36*30)+10</f>
        <v>1090</v>
      </c>
      <c r="C24" s="7">
        <f>+T5+T14</f>
        <v>560</v>
      </c>
      <c r="D24" s="7">
        <f t="shared" si="4"/>
        <v>530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6" t="s">
        <v>43</v>
      </c>
      <c r="B25" s="7">
        <f>(36*30)+10</f>
        <v>1090</v>
      </c>
      <c r="C25" s="7">
        <f>+T6+T15</f>
        <v>480</v>
      </c>
      <c r="D25" s="7">
        <f t="shared" si="4"/>
        <v>610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/>
      <c r="B26" s="14"/>
      <c r="C26" s="14">
        <f>+T8+T17</f>
        <v>15</v>
      </c>
      <c r="D26" s="14">
        <f t="shared" si="4"/>
        <v>-15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9A55-19CA-4D06-A8E8-E0C485340D67}">
  <sheetPr codeName="Sheet6"/>
  <dimension ref="A1:U27"/>
  <sheetViews>
    <sheetView workbookViewId="0">
      <selection activeCell="S4" sqref="S4"/>
    </sheetView>
  </sheetViews>
  <sheetFormatPr defaultRowHeight="15" x14ac:dyDescent="0.25"/>
  <cols>
    <col min="1" max="1" width="14.71093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49</v>
      </c>
      <c r="B2" s="36">
        <v>240</v>
      </c>
      <c r="C2" s="36"/>
      <c r="D2" s="36"/>
      <c r="E2" s="36"/>
      <c r="F2" s="36"/>
      <c r="G2" s="36"/>
      <c r="H2" s="36"/>
      <c r="I2" s="36"/>
      <c r="J2" s="36">
        <v>120</v>
      </c>
      <c r="K2" s="36"/>
      <c r="L2" s="36"/>
      <c r="M2" s="36"/>
      <c r="N2" s="36">
        <v>120</v>
      </c>
      <c r="O2" s="36"/>
      <c r="P2" s="36"/>
      <c r="Q2" s="36">
        <v>120</v>
      </c>
      <c r="R2" s="36"/>
      <c r="S2" s="36"/>
      <c r="T2" s="8">
        <f>SUM(B2:S2)</f>
        <v>600</v>
      </c>
    </row>
    <row r="3" spans="1:20" x14ac:dyDescent="0.25">
      <c r="A3" s="35" t="s">
        <v>50</v>
      </c>
      <c r="B3" s="36">
        <v>60</v>
      </c>
      <c r="C3" s="36"/>
      <c r="D3" s="36">
        <v>300</v>
      </c>
      <c r="E3" s="36"/>
      <c r="F3" s="36"/>
      <c r="G3" s="36"/>
      <c r="H3" s="36"/>
      <c r="I3" s="36"/>
      <c r="J3" s="36"/>
      <c r="K3" s="36"/>
      <c r="L3" s="36">
        <v>150</v>
      </c>
      <c r="M3" s="36"/>
      <c r="N3" s="36"/>
      <c r="O3" s="36"/>
      <c r="P3" s="36">
        <v>120</v>
      </c>
      <c r="Q3" s="36"/>
      <c r="R3" s="36"/>
      <c r="S3" s="36"/>
      <c r="T3" s="8">
        <f t="shared" ref="T3:T8" si="0">SUM(B3:S3)</f>
        <v>630</v>
      </c>
    </row>
    <row r="4" spans="1:20" x14ac:dyDescent="0.25">
      <c r="A4" s="35" t="s">
        <v>51</v>
      </c>
      <c r="B4" s="36">
        <v>30</v>
      </c>
      <c r="C4" s="36"/>
      <c r="D4" s="36">
        <v>60</v>
      </c>
      <c r="E4" s="36">
        <v>30</v>
      </c>
      <c r="F4" s="36"/>
      <c r="G4" s="36">
        <v>60</v>
      </c>
      <c r="H4" s="36"/>
      <c r="I4" s="36">
        <v>100</v>
      </c>
      <c r="J4" s="36">
        <v>20</v>
      </c>
      <c r="K4" s="36">
        <v>30</v>
      </c>
      <c r="L4" s="36">
        <v>30</v>
      </c>
      <c r="M4" s="36"/>
      <c r="N4" s="36"/>
      <c r="O4" s="36">
        <v>90</v>
      </c>
      <c r="P4" s="36"/>
      <c r="Q4" s="36">
        <v>90</v>
      </c>
      <c r="R4" s="36"/>
      <c r="S4" s="36">
        <v>60</v>
      </c>
      <c r="T4" s="8">
        <f t="shared" si="0"/>
        <v>600</v>
      </c>
    </row>
    <row r="5" spans="1:20" x14ac:dyDescent="0.25">
      <c r="A5" s="35" t="s">
        <v>52</v>
      </c>
      <c r="B5" s="36">
        <v>30</v>
      </c>
      <c r="C5" s="36">
        <v>30</v>
      </c>
      <c r="D5" s="36">
        <v>30</v>
      </c>
      <c r="E5" s="36">
        <v>30</v>
      </c>
      <c r="F5" s="36">
        <v>30</v>
      </c>
      <c r="G5" s="36">
        <v>30</v>
      </c>
      <c r="H5" s="36">
        <v>60</v>
      </c>
      <c r="I5" s="36"/>
      <c r="J5" s="36">
        <v>120</v>
      </c>
      <c r="K5" s="36"/>
      <c r="L5" s="36">
        <v>60</v>
      </c>
      <c r="M5" s="36"/>
      <c r="N5" s="36">
        <v>60</v>
      </c>
      <c r="O5" s="36"/>
      <c r="P5" s="36"/>
      <c r="Q5" s="36"/>
      <c r="R5" s="36">
        <v>60</v>
      </c>
      <c r="S5" s="36"/>
      <c r="T5" s="8">
        <f t="shared" si="0"/>
        <v>540</v>
      </c>
    </row>
    <row r="6" spans="1:20" x14ac:dyDescent="0.25">
      <c r="A6" s="35" t="s">
        <v>53</v>
      </c>
      <c r="B6" s="36">
        <v>70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8">
        <f t="shared" si="0"/>
        <v>70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430</v>
      </c>
      <c r="C9" s="2">
        <f t="shared" ref="C9:T9" si="1">SUM(C2:C8)</f>
        <v>30</v>
      </c>
      <c r="D9" s="2">
        <f t="shared" si="1"/>
        <v>390</v>
      </c>
      <c r="E9" s="2">
        <f t="shared" si="1"/>
        <v>60</v>
      </c>
      <c r="F9" s="2">
        <f t="shared" si="1"/>
        <v>30</v>
      </c>
      <c r="G9" s="2">
        <f t="shared" si="1"/>
        <v>90</v>
      </c>
      <c r="H9" s="2">
        <f t="shared" si="1"/>
        <v>60</v>
      </c>
      <c r="I9" s="2">
        <f t="shared" si="1"/>
        <v>100</v>
      </c>
      <c r="J9" s="2">
        <f t="shared" si="1"/>
        <v>260</v>
      </c>
      <c r="K9" s="2">
        <f t="shared" si="1"/>
        <v>30</v>
      </c>
      <c r="L9" s="2">
        <f t="shared" si="1"/>
        <v>240</v>
      </c>
      <c r="M9" s="2">
        <f t="shared" si="1"/>
        <v>0</v>
      </c>
      <c r="N9" s="2">
        <f t="shared" si="1"/>
        <v>180</v>
      </c>
      <c r="O9" s="2">
        <f t="shared" si="1"/>
        <v>90</v>
      </c>
      <c r="P9" s="2">
        <f t="shared" si="1"/>
        <v>120</v>
      </c>
      <c r="Q9" s="2">
        <f t="shared" si="1"/>
        <v>210</v>
      </c>
      <c r="R9" s="2">
        <f t="shared" si="1"/>
        <v>60</v>
      </c>
      <c r="S9" s="2">
        <f t="shared" si="1"/>
        <v>60</v>
      </c>
      <c r="T9" s="22">
        <f t="shared" si="1"/>
        <v>2440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 t="shared" ref="T11:T16" si="2"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si="2"/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/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49</v>
      </c>
      <c r="B21" s="7">
        <f t="shared" ref="B21:B26" si="4">(36*30)+10</f>
        <v>1090</v>
      </c>
      <c r="C21" s="7">
        <f>+T2+T11</f>
        <v>600</v>
      </c>
      <c r="D21" s="7">
        <f t="shared" ref="D21:D26" si="5">+B21-C21</f>
        <v>490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50</v>
      </c>
      <c r="B22" s="7">
        <f t="shared" si="4"/>
        <v>1090</v>
      </c>
      <c r="C22" s="7">
        <f>+T3+T12</f>
        <v>630</v>
      </c>
      <c r="D22" s="7">
        <f t="shared" si="5"/>
        <v>460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51</v>
      </c>
      <c r="B23" s="7">
        <f t="shared" si="4"/>
        <v>1090</v>
      </c>
      <c r="C23" s="7">
        <f>+T4+T13</f>
        <v>600</v>
      </c>
      <c r="D23" s="7">
        <f t="shared" si="5"/>
        <v>490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52</v>
      </c>
      <c r="B24" s="7">
        <f t="shared" si="4"/>
        <v>1090</v>
      </c>
      <c r="C24" s="7">
        <f>+T5+T14</f>
        <v>540</v>
      </c>
      <c r="D24" s="7">
        <f t="shared" si="5"/>
        <v>550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53</v>
      </c>
      <c r="B25" s="7">
        <f t="shared" si="4"/>
        <v>1090</v>
      </c>
      <c r="C25" s="7">
        <f>+T6+T15</f>
        <v>70</v>
      </c>
      <c r="D25" s="7">
        <f t="shared" si="5"/>
        <v>1020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+T8+T18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649D-2802-4811-8F3A-F8DCE32644F5}">
  <sheetPr codeName="Sheet7"/>
  <dimension ref="A1:U27"/>
  <sheetViews>
    <sheetView workbookViewId="0">
      <selection activeCell="S6" sqref="S6"/>
    </sheetView>
  </sheetViews>
  <sheetFormatPr defaultRowHeight="15" x14ac:dyDescent="0.25"/>
  <cols>
    <col min="1" max="1" width="20.28515625" bestFit="1" customWidth="1"/>
    <col min="2" max="2" width="12.5703125" style="1" bestFit="1" customWidth="1"/>
    <col min="3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54</v>
      </c>
      <c r="B2" s="36"/>
      <c r="C2" s="36"/>
      <c r="D2" s="36"/>
      <c r="E2" s="36">
        <v>1090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8">
        <f>SUM(B2:S2)</f>
        <v>1090</v>
      </c>
    </row>
    <row r="3" spans="1:20" x14ac:dyDescent="0.25">
      <c r="A3" s="35" t="s">
        <v>55</v>
      </c>
      <c r="B3" s="36">
        <v>400</v>
      </c>
      <c r="C3" s="36"/>
      <c r="D3" s="36"/>
      <c r="E3" s="36"/>
      <c r="F3" s="36"/>
      <c r="G3" s="36"/>
      <c r="H3" s="36"/>
      <c r="I3" s="36">
        <v>100</v>
      </c>
      <c r="J3" s="36"/>
      <c r="K3" s="36">
        <v>100</v>
      </c>
      <c r="L3" s="36"/>
      <c r="M3" s="36"/>
      <c r="N3" s="36">
        <v>30</v>
      </c>
      <c r="O3" s="36">
        <v>30</v>
      </c>
      <c r="P3" s="36">
        <v>60</v>
      </c>
      <c r="Q3" s="36">
        <v>30</v>
      </c>
      <c r="R3" s="36">
        <v>30</v>
      </c>
      <c r="S3" s="36">
        <v>30</v>
      </c>
      <c r="T3" s="8">
        <f t="shared" ref="T3:T8" si="0">SUM(B3:S3)</f>
        <v>810</v>
      </c>
    </row>
    <row r="4" spans="1:20" x14ac:dyDescent="0.25">
      <c r="A4" s="35" t="s">
        <v>146</v>
      </c>
      <c r="B4" s="36">
        <v>30</v>
      </c>
      <c r="C4" s="36">
        <v>30</v>
      </c>
      <c r="D4" s="36">
        <v>30</v>
      </c>
      <c r="E4" s="36">
        <v>30</v>
      </c>
      <c r="F4" s="36">
        <v>30</v>
      </c>
      <c r="G4" s="36"/>
      <c r="H4" s="36">
        <v>40</v>
      </c>
      <c r="I4" s="36"/>
      <c r="J4" s="36"/>
      <c r="K4" s="36">
        <v>120</v>
      </c>
      <c r="L4" s="36"/>
      <c r="M4" s="36"/>
      <c r="N4" s="36">
        <v>60</v>
      </c>
      <c r="O4" s="36">
        <v>30</v>
      </c>
      <c r="P4" s="36">
        <v>30</v>
      </c>
      <c r="Q4" s="36">
        <v>30</v>
      </c>
      <c r="R4" s="36">
        <v>30</v>
      </c>
      <c r="S4" s="36">
        <v>30</v>
      </c>
      <c r="T4" s="8">
        <f t="shared" si="0"/>
        <v>520</v>
      </c>
    </row>
    <row r="5" spans="1:20" x14ac:dyDescent="0.25">
      <c r="A5" s="35" t="s">
        <v>57</v>
      </c>
      <c r="B5" s="36">
        <v>60</v>
      </c>
      <c r="C5" s="36"/>
      <c r="D5" s="36"/>
      <c r="E5" s="36">
        <v>60</v>
      </c>
      <c r="F5" s="36"/>
      <c r="G5" s="36">
        <v>120</v>
      </c>
      <c r="H5" s="36"/>
      <c r="I5" s="36">
        <v>60</v>
      </c>
      <c r="J5" s="36"/>
      <c r="K5" s="36"/>
      <c r="L5" s="36">
        <v>100</v>
      </c>
      <c r="M5" s="36"/>
      <c r="N5" s="36">
        <v>60</v>
      </c>
      <c r="O5" s="36">
        <v>60</v>
      </c>
      <c r="P5" s="36"/>
      <c r="Q5" s="36">
        <v>60</v>
      </c>
      <c r="R5" s="36"/>
      <c r="S5" s="36">
        <v>60</v>
      </c>
      <c r="T5" s="8">
        <f t="shared" si="0"/>
        <v>640</v>
      </c>
    </row>
    <row r="6" spans="1:20" x14ac:dyDescent="0.25">
      <c r="A6" s="35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>
        <v>60</v>
      </c>
      <c r="M6" s="36"/>
      <c r="N6" s="36"/>
      <c r="O6" s="36"/>
      <c r="P6" s="36"/>
      <c r="Q6" s="36"/>
      <c r="R6" s="36"/>
      <c r="S6" s="36"/>
      <c r="T6" s="8">
        <f t="shared" si="0"/>
        <v>60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490</v>
      </c>
      <c r="C9" s="2">
        <f t="shared" ref="C9:T9" si="1">SUM(C2:C8)</f>
        <v>30</v>
      </c>
      <c r="D9" s="2">
        <f t="shared" si="1"/>
        <v>30</v>
      </c>
      <c r="E9" s="2">
        <f t="shared" si="1"/>
        <v>1180</v>
      </c>
      <c r="F9" s="2">
        <f t="shared" si="1"/>
        <v>30</v>
      </c>
      <c r="G9" s="2">
        <f t="shared" si="1"/>
        <v>120</v>
      </c>
      <c r="H9" s="2">
        <f t="shared" si="1"/>
        <v>40</v>
      </c>
      <c r="I9" s="2">
        <f t="shared" si="1"/>
        <v>160</v>
      </c>
      <c r="J9" s="2">
        <f t="shared" si="1"/>
        <v>0</v>
      </c>
      <c r="K9" s="2">
        <f t="shared" si="1"/>
        <v>220</v>
      </c>
      <c r="L9" s="2">
        <f t="shared" si="1"/>
        <v>160</v>
      </c>
      <c r="M9" s="2">
        <f t="shared" si="1"/>
        <v>0</v>
      </c>
      <c r="N9" s="2">
        <f t="shared" si="1"/>
        <v>150</v>
      </c>
      <c r="O9" s="2">
        <f t="shared" si="1"/>
        <v>120</v>
      </c>
      <c r="P9" s="2">
        <f t="shared" si="1"/>
        <v>90</v>
      </c>
      <c r="Q9" s="2">
        <f t="shared" si="1"/>
        <v>120</v>
      </c>
      <c r="R9" s="2">
        <f t="shared" si="1"/>
        <v>60</v>
      </c>
      <c r="S9" s="2">
        <f t="shared" si="1"/>
        <v>120</v>
      </c>
      <c r="T9" s="22">
        <f t="shared" si="1"/>
        <v>3120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54</v>
      </c>
      <c r="B21" s="7">
        <f t="shared" ref="B21:B26" si="4">(36*30)+10</f>
        <v>1090</v>
      </c>
      <c r="C21" s="7">
        <f>+T2+T11</f>
        <v>1090</v>
      </c>
      <c r="D21" s="7">
        <f t="shared" ref="D21:D26" si="5">+B21-C21</f>
        <v>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55</v>
      </c>
      <c r="B22" s="7">
        <f t="shared" si="4"/>
        <v>1090</v>
      </c>
      <c r="C22" s="7">
        <f>+T3+T12</f>
        <v>810</v>
      </c>
      <c r="D22" s="7">
        <f t="shared" si="5"/>
        <v>280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56</v>
      </c>
      <c r="B23" s="7">
        <f t="shared" si="4"/>
        <v>1090</v>
      </c>
      <c r="C23" s="7">
        <f>+T4+T13</f>
        <v>520</v>
      </c>
      <c r="D23" s="7">
        <f t="shared" si="5"/>
        <v>570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57</v>
      </c>
      <c r="B24" s="7">
        <f t="shared" si="4"/>
        <v>1090</v>
      </c>
      <c r="C24" s="7">
        <f>+T5+T14</f>
        <v>640</v>
      </c>
      <c r="D24" s="7">
        <f t="shared" si="5"/>
        <v>450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6">
        <v>5</v>
      </c>
      <c r="B25" s="7">
        <f t="shared" si="4"/>
        <v>1090</v>
      </c>
      <c r="C25" s="7">
        <f>+T6+T15</f>
        <v>60</v>
      </c>
      <c r="D25" s="7">
        <f t="shared" si="5"/>
        <v>1030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F04C-1E8B-4F4B-9A6E-ACD8FAD7CF21}">
  <sheetPr codeName="Sheet8"/>
  <dimension ref="A1:U27"/>
  <sheetViews>
    <sheetView workbookViewId="0">
      <selection activeCell="S6" sqref="S6"/>
    </sheetView>
  </sheetViews>
  <sheetFormatPr defaultRowHeight="15" x14ac:dyDescent="0.25"/>
  <cols>
    <col min="1" max="1" width="20.855468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8" width="9.140625" style="1"/>
    <col min="9" max="9" width="10.5703125" style="1" bestFit="1" customWidth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58</v>
      </c>
      <c r="B2" s="36"/>
      <c r="C2" s="36">
        <v>30</v>
      </c>
      <c r="D2" s="36">
        <v>30</v>
      </c>
      <c r="E2" s="36">
        <v>30</v>
      </c>
      <c r="F2" s="36"/>
      <c r="G2" s="36">
        <v>60</v>
      </c>
      <c r="H2" s="36"/>
      <c r="I2" s="36">
        <v>120</v>
      </c>
      <c r="J2" s="36"/>
      <c r="K2" s="36"/>
      <c r="L2" s="36"/>
      <c r="M2" s="36"/>
      <c r="N2" s="36">
        <v>30</v>
      </c>
      <c r="O2" s="36">
        <v>30</v>
      </c>
      <c r="P2" s="36">
        <v>30</v>
      </c>
      <c r="Q2" s="36">
        <v>60</v>
      </c>
      <c r="R2" s="36">
        <v>60</v>
      </c>
      <c r="S2" s="36">
        <v>30</v>
      </c>
      <c r="T2" s="8">
        <f>SUM(B2:S2)</f>
        <v>510</v>
      </c>
    </row>
    <row r="3" spans="1:20" x14ac:dyDescent="0.25">
      <c r="A3" s="35" t="s">
        <v>59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0</v>
      </c>
    </row>
    <row r="4" spans="1:20" x14ac:dyDescent="0.25">
      <c r="A4" s="35" t="s">
        <v>60</v>
      </c>
      <c r="B4" s="36">
        <v>30</v>
      </c>
      <c r="C4" s="36">
        <v>30</v>
      </c>
      <c r="D4" s="36">
        <v>30</v>
      </c>
      <c r="E4" s="36"/>
      <c r="F4" s="36"/>
      <c r="G4" s="36">
        <v>60</v>
      </c>
      <c r="H4" s="36">
        <v>60</v>
      </c>
      <c r="I4" s="36">
        <v>60</v>
      </c>
      <c r="J4" s="36">
        <v>0</v>
      </c>
      <c r="K4" s="36">
        <v>30</v>
      </c>
      <c r="L4" s="36">
        <v>30</v>
      </c>
      <c r="M4" s="36"/>
      <c r="N4" s="36">
        <v>30</v>
      </c>
      <c r="O4" s="36">
        <v>30</v>
      </c>
      <c r="P4" s="36">
        <v>30</v>
      </c>
      <c r="Q4" s="36">
        <v>90</v>
      </c>
      <c r="R4" s="36"/>
      <c r="S4" s="36">
        <v>60</v>
      </c>
      <c r="T4" s="8">
        <f t="shared" si="0"/>
        <v>570</v>
      </c>
    </row>
    <row r="5" spans="1:20" x14ac:dyDescent="0.25">
      <c r="A5" s="35" t="s">
        <v>61</v>
      </c>
      <c r="B5" s="36">
        <v>30</v>
      </c>
      <c r="C5" s="36">
        <v>30</v>
      </c>
      <c r="D5" s="36">
        <v>30</v>
      </c>
      <c r="E5" s="36"/>
      <c r="F5" s="36"/>
      <c r="G5" s="36">
        <v>60</v>
      </c>
      <c r="H5" s="36">
        <v>60</v>
      </c>
      <c r="I5" s="36">
        <v>60</v>
      </c>
      <c r="J5" s="36">
        <v>0</v>
      </c>
      <c r="K5" s="36">
        <v>30</v>
      </c>
      <c r="L5" s="36">
        <v>30</v>
      </c>
      <c r="M5" s="36"/>
      <c r="N5" s="36">
        <v>30</v>
      </c>
      <c r="O5" s="36">
        <v>30</v>
      </c>
      <c r="P5" s="36">
        <v>30</v>
      </c>
      <c r="Q5" s="36">
        <v>90</v>
      </c>
      <c r="R5" s="36"/>
      <c r="S5" s="36">
        <v>60</v>
      </c>
      <c r="T5" s="8">
        <f t="shared" si="0"/>
        <v>570</v>
      </c>
    </row>
    <row r="6" spans="1:20" x14ac:dyDescent="0.25">
      <c r="A6" s="35" t="s">
        <v>62</v>
      </c>
      <c r="B6" s="36"/>
      <c r="C6" s="36"/>
      <c r="D6" s="36">
        <v>0</v>
      </c>
      <c r="E6" s="36"/>
      <c r="F6" s="36"/>
      <c r="G6" s="36"/>
      <c r="H6" s="36"/>
      <c r="I6" s="36"/>
      <c r="J6" s="36"/>
      <c r="K6" s="36"/>
      <c r="L6" s="36"/>
      <c r="M6" s="36"/>
      <c r="N6" s="36">
        <v>30</v>
      </c>
      <c r="O6" s="36">
        <v>120</v>
      </c>
      <c r="P6" s="36">
        <v>30</v>
      </c>
      <c r="Q6" s="36">
        <v>60</v>
      </c>
      <c r="R6" s="36">
        <v>60</v>
      </c>
      <c r="S6" s="36">
        <v>30</v>
      </c>
      <c r="T6" s="8">
        <f t="shared" si="0"/>
        <v>330</v>
      </c>
    </row>
    <row r="7" spans="1:20" x14ac:dyDescent="0.25">
      <c r="A7" s="35" t="s">
        <v>63</v>
      </c>
      <c r="B7" s="36">
        <v>30</v>
      </c>
      <c r="C7" s="36">
        <v>30</v>
      </c>
      <c r="D7" s="36">
        <v>30</v>
      </c>
      <c r="E7" s="36"/>
      <c r="F7" s="36"/>
      <c r="G7" s="36">
        <v>120</v>
      </c>
      <c r="H7" s="36"/>
      <c r="I7" s="36">
        <v>120</v>
      </c>
      <c r="J7" s="36"/>
      <c r="K7" s="36">
        <v>0</v>
      </c>
      <c r="L7" s="36">
        <v>60</v>
      </c>
      <c r="M7" s="36"/>
      <c r="N7" s="36"/>
      <c r="O7" s="36">
        <v>30</v>
      </c>
      <c r="P7" s="36"/>
      <c r="Q7" s="36"/>
      <c r="R7" s="36"/>
      <c r="S7" s="36"/>
      <c r="T7" s="8">
        <f t="shared" si="0"/>
        <v>420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90</v>
      </c>
      <c r="C9" s="2">
        <f t="shared" ref="C9:T9" si="1">SUM(C2:C8)</f>
        <v>120</v>
      </c>
      <c r="D9" s="2">
        <f t="shared" si="1"/>
        <v>120</v>
      </c>
      <c r="E9" s="2">
        <f t="shared" si="1"/>
        <v>30</v>
      </c>
      <c r="F9" s="2">
        <f t="shared" si="1"/>
        <v>0</v>
      </c>
      <c r="G9" s="2">
        <f t="shared" si="1"/>
        <v>300</v>
      </c>
      <c r="H9" s="2">
        <f t="shared" si="1"/>
        <v>120</v>
      </c>
      <c r="I9" s="2">
        <f t="shared" si="1"/>
        <v>360</v>
      </c>
      <c r="J9" s="2">
        <f t="shared" si="1"/>
        <v>0</v>
      </c>
      <c r="K9" s="2">
        <f t="shared" si="1"/>
        <v>60</v>
      </c>
      <c r="L9" s="2">
        <f t="shared" si="1"/>
        <v>120</v>
      </c>
      <c r="M9" s="2">
        <f t="shared" si="1"/>
        <v>0</v>
      </c>
      <c r="N9" s="2">
        <f t="shared" si="1"/>
        <v>120</v>
      </c>
      <c r="O9" s="2">
        <f t="shared" si="1"/>
        <v>240</v>
      </c>
      <c r="P9" s="2">
        <f t="shared" si="1"/>
        <v>120</v>
      </c>
      <c r="Q9" s="2">
        <f t="shared" si="1"/>
        <v>300</v>
      </c>
      <c r="R9" s="2">
        <f t="shared" si="1"/>
        <v>120</v>
      </c>
      <c r="S9" s="2">
        <f t="shared" si="1"/>
        <v>180</v>
      </c>
      <c r="T9" s="22">
        <f t="shared" si="1"/>
        <v>2400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58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 t="s">
        <v>59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60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61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 t="s">
        <v>62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 t="s">
        <v>63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58</v>
      </c>
      <c r="B21" s="7">
        <f>(36*30)+10</f>
        <v>1090</v>
      </c>
      <c r="C21" s="7">
        <f>+T2+T11</f>
        <v>510</v>
      </c>
      <c r="D21" s="7">
        <f t="shared" ref="D21:D26" si="4">+B21-C21</f>
        <v>580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59</v>
      </c>
      <c r="B22" s="7">
        <f>(36*30)+10-13.25</f>
        <v>1076.75</v>
      </c>
      <c r="C22" s="7">
        <f>+T3+T12</f>
        <v>0</v>
      </c>
      <c r="D22" s="7">
        <f t="shared" si="4"/>
        <v>1076.75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60</v>
      </c>
      <c r="B23" s="7">
        <f>(36*30)+10</f>
        <v>1090</v>
      </c>
      <c r="C23" s="7">
        <f>+T4+T13</f>
        <v>570</v>
      </c>
      <c r="D23" s="7">
        <f t="shared" si="4"/>
        <v>520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61</v>
      </c>
      <c r="B24" s="7">
        <f>(36*30)+10</f>
        <v>1090</v>
      </c>
      <c r="C24" s="7">
        <f>+T5+T14</f>
        <v>570</v>
      </c>
      <c r="D24" s="7">
        <f t="shared" si="4"/>
        <v>520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62</v>
      </c>
      <c r="B25" s="7">
        <f>(36*30)+10-238.5</f>
        <v>851.5</v>
      </c>
      <c r="C25" s="7">
        <f>+T6+T15</f>
        <v>330</v>
      </c>
      <c r="D25" s="7">
        <f t="shared" si="4"/>
        <v>521.5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35" t="s">
        <v>63</v>
      </c>
      <c r="B26" s="14">
        <f>(36*30)+10-238.5</f>
        <v>851.5</v>
      </c>
      <c r="C26" s="14">
        <f>+T7+T18</f>
        <v>420</v>
      </c>
      <c r="D26" s="14">
        <f t="shared" si="4"/>
        <v>431.5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A89D-1E46-43E8-93DE-8FAEEB842BB9}">
  <sheetPr codeName="Sheet9"/>
  <dimension ref="A1:U27"/>
  <sheetViews>
    <sheetView workbookViewId="0">
      <selection activeCell="S4" sqref="S4"/>
    </sheetView>
  </sheetViews>
  <sheetFormatPr defaultRowHeight="15" x14ac:dyDescent="0.25"/>
  <cols>
    <col min="1" max="1" width="16.85546875" bestFit="1" customWidth="1"/>
    <col min="2" max="2" width="12.5703125" style="1" bestFit="1" customWidth="1"/>
    <col min="3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64</v>
      </c>
      <c r="B2" s="36">
        <v>30</v>
      </c>
      <c r="C2" s="36">
        <v>30</v>
      </c>
      <c r="D2" s="36">
        <v>60</v>
      </c>
      <c r="E2" s="36">
        <v>0</v>
      </c>
      <c r="F2" s="36">
        <v>30</v>
      </c>
      <c r="G2" s="36">
        <v>60</v>
      </c>
      <c r="H2" s="36"/>
      <c r="I2" s="36">
        <v>90</v>
      </c>
      <c r="J2" s="36">
        <v>30</v>
      </c>
      <c r="K2" s="36">
        <v>30</v>
      </c>
      <c r="L2" s="36"/>
      <c r="M2" s="36">
        <v>60</v>
      </c>
      <c r="N2" s="36"/>
      <c r="O2" s="36">
        <v>30</v>
      </c>
      <c r="P2" s="36"/>
      <c r="Q2" s="36"/>
      <c r="R2" s="36">
        <v>30</v>
      </c>
      <c r="S2" s="36">
        <v>25</v>
      </c>
      <c r="T2" s="8">
        <f>SUM(B2:S2)</f>
        <v>505</v>
      </c>
    </row>
    <row r="3" spans="1:20" x14ac:dyDescent="0.25">
      <c r="A3" s="35" t="s">
        <v>65</v>
      </c>
      <c r="B3" s="36">
        <v>60</v>
      </c>
      <c r="C3" s="36"/>
      <c r="D3" s="36">
        <v>100</v>
      </c>
      <c r="E3" s="36">
        <v>60</v>
      </c>
      <c r="F3" s="36"/>
      <c r="G3" s="36">
        <v>60</v>
      </c>
      <c r="H3" s="36"/>
      <c r="I3" s="36">
        <v>60</v>
      </c>
      <c r="J3" s="36"/>
      <c r="K3" s="36">
        <v>60</v>
      </c>
      <c r="L3" s="36"/>
      <c r="M3" s="36"/>
      <c r="N3" s="36">
        <v>60</v>
      </c>
      <c r="O3" s="36">
        <v>60</v>
      </c>
      <c r="P3" s="36">
        <v>60</v>
      </c>
      <c r="Q3" s="36">
        <v>30</v>
      </c>
      <c r="R3" s="36"/>
      <c r="S3" s="36">
        <v>90</v>
      </c>
      <c r="T3" s="8">
        <f t="shared" ref="T3:T8" si="0">SUM(B3:S3)</f>
        <v>700</v>
      </c>
    </row>
    <row r="4" spans="1:20" x14ac:dyDescent="0.25">
      <c r="A4" s="35" t="s">
        <v>66</v>
      </c>
      <c r="B4" s="36">
        <v>30</v>
      </c>
      <c r="C4" s="36">
        <v>30</v>
      </c>
      <c r="D4" s="36">
        <v>30</v>
      </c>
      <c r="E4" s="36"/>
      <c r="F4" s="36">
        <v>30</v>
      </c>
      <c r="G4" s="36">
        <v>30</v>
      </c>
      <c r="H4" s="36">
        <v>30</v>
      </c>
      <c r="I4" s="36">
        <v>30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8">
        <f t="shared" si="0"/>
        <v>210</v>
      </c>
    </row>
    <row r="5" spans="1:20" x14ac:dyDescent="0.25">
      <c r="A5" s="35" t="s">
        <v>67</v>
      </c>
      <c r="B5" s="36">
        <v>500</v>
      </c>
      <c r="C5" s="36"/>
      <c r="D5" s="36"/>
      <c r="E5" s="36"/>
      <c r="F5" s="36"/>
      <c r="G5" s="36"/>
      <c r="H5" s="36">
        <v>590</v>
      </c>
      <c r="I5" s="36">
        <v>0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1090</v>
      </c>
    </row>
    <row r="6" spans="1:20" x14ac:dyDescent="0.25">
      <c r="A6" s="35" t="s">
        <v>68</v>
      </c>
      <c r="B6" s="36">
        <v>30</v>
      </c>
      <c r="C6" s="36"/>
      <c r="D6" s="36">
        <v>60</v>
      </c>
      <c r="E6" s="36">
        <v>30</v>
      </c>
      <c r="F6" s="36"/>
      <c r="G6" s="36">
        <v>30</v>
      </c>
      <c r="H6" s="36">
        <v>30</v>
      </c>
      <c r="I6" s="36">
        <v>60</v>
      </c>
      <c r="J6" s="36"/>
      <c r="K6" s="36">
        <v>90</v>
      </c>
      <c r="L6" s="36"/>
      <c r="M6" s="36">
        <v>60</v>
      </c>
      <c r="N6" s="36"/>
      <c r="O6" s="36">
        <v>90</v>
      </c>
      <c r="P6" s="36"/>
      <c r="Q6" s="36">
        <v>30</v>
      </c>
      <c r="R6" s="36"/>
      <c r="S6" s="36">
        <v>30</v>
      </c>
      <c r="T6" s="8">
        <f t="shared" si="0"/>
        <v>540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650</v>
      </c>
      <c r="C9" s="2">
        <f t="shared" ref="C9:T9" si="1">SUM(C2:C8)</f>
        <v>60</v>
      </c>
      <c r="D9" s="2">
        <f t="shared" si="1"/>
        <v>250</v>
      </c>
      <c r="E9" s="2">
        <f t="shared" si="1"/>
        <v>90</v>
      </c>
      <c r="F9" s="2">
        <f t="shared" si="1"/>
        <v>60</v>
      </c>
      <c r="G9" s="2">
        <f t="shared" si="1"/>
        <v>180</v>
      </c>
      <c r="H9" s="2">
        <f t="shared" si="1"/>
        <v>650</v>
      </c>
      <c r="I9" s="2">
        <f t="shared" si="1"/>
        <v>240</v>
      </c>
      <c r="J9" s="2">
        <f t="shared" si="1"/>
        <v>30</v>
      </c>
      <c r="K9" s="2">
        <f t="shared" si="1"/>
        <v>180</v>
      </c>
      <c r="L9" s="2">
        <f t="shared" si="1"/>
        <v>0</v>
      </c>
      <c r="M9" s="2">
        <f t="shared" si="1"/>
        <v>120</v>
      </c>
      <c r="N9" s="2">
        <f t="shared" si="1"/>
        <v>60</v>
      </c>
      <c r="O9" s="2">
        <f t="shared" si="1"/>
        <v>180</v>
      </c>
      <c r="P9" s="2">
        <f t="shared" si="1"/>
        <v>60</v>
      </c>
      <c r="Q9" s="2">
        <f t="shared" si="1"/>
        <v>60</v>
      </c>
      <c r="R9" s="2">
        <f t="shared" si="1"/>
        <v>30</v>
      </c>
      <c r="S9" s="2">
        <f t="shared" si="1"/>
        <v>145</v>
      </c>
      <c r="T9" s="22">
        <f t="shared" si="1"/>
        <v>3045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64</v>
      </c>
      <c r="B21" s="7">
        <f t="shared" ref="B21:B26" si="4">(36*30)+10</f>
        <v>1090</v>
      </c>
      <c r="C21" s="7">
        <f>+T2+T11</f>
        <v>505</v>
      </c>
      <c r="D21" s="7">
        <f t="shared" ref="D21:D26" si="5">+B21-C21</f>
        <v>585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65</v>
      </c>
      <c r="B22" s="7">
        <f t="shared" si="4"/>
        <v>1090</v>
      </c>
      <c r="C22" s="7">
        <f>+T3+T12</f>
        <v>700</v>
      </c>
      <c r="D22" s="7">
        <f t="shared" si="5"/>
        <v>390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66</v>
      </c>
      <c r="B23" s="7">
        <f t="shared" si="4"/>
        <v>1090</v>
      </c>
      <c r="C23" s="7">
        <f>+T4+T13</f>
        <v>210</v>
      </c>
      <c r="D23" s="7">
        <f t="shared" si="5"/>
        <v>880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67</v>
      </c>
      <c r="B24" s="7">
        <f t="shared" si="4"/>
        <v>1090</v>
      </c>
      <c r="C24" s="7">
        <f>+T5+T14</f>
        <v>1090</v>
      </c>
      <c r="D24" s="7">
        <f t="shared" si="5"/>
        <v>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68</v>
      </c>
      <c r="B25" s="7">
        <f t="shared" si="4"/>
        <v>1090</v>
      </c>
      <c r="C25" s="7">
        <f>+T6+T15</f>
        <v>540</v>
      </c>
      <c r="D25" s="7">
        <f t="shared" si="5"/>
        <v>550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99E1-655D-49BD-863A-2133609C4B5E}">
  <sheetPr codeName="Sheet10"/>
  <dimension ref="A1:U27"/>
  <sheetViews>
    <sheetView workbookViewId="0">
      <selection activeCell="S6" sqref="S6"/>
    </sheetView>
  </sheetViews>
  <sheetFormatPr defaultRowHeight="15" x14ac:dyDescent="0.25"/>
  <cols>
    <col min="1" max="1" width="15.57031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69</v>
      </c>
      <c r="B2" s="36">
        <v>30</v>
      </c>
      <c r="C2" s="36">
        <v>30</v>
      </c>
      <c r="D2" s="36">
        <v>30</v>
      </c>
      <c r="E2" s="36">
        <v>30</v>
      </c>
      <c r="F2" s="36"/>
      <c r="G2" s="36">
        <v>60</v>
      </c>
      <c r="H2" s="36"/>
      <c r="I2" s="36">
        <v>120</v>
      </c>
      <c r="J2" s="36"/>
      <c r="K2" s="36">
        <v>60</v>
      </c>
      <c r="L2" s="36"/>
      <c r="M2" s="36"/>
      <c r="N2" s="36"/>
      <c r="O2" s="36">
        <v>60</v>
      </c>
      <c r="P2" s="36"/>
      <c r="Q2" s="36">
        <v>60</v>
      </c>
      <c r="R2" s="36"/>
      <c r="S2" s="36"/>
      <c r="T2" s="8">
        <f>SUM(B2:S2)</f>
        <v>480</v>
      </c>
    </row>
    <row r="3" spans="1:20" x14ac:dyDescent="0.25">
      <c r="A3" s="35" t="s">
        <v>153</v>
      </c>
      <c r="B3" s="36">
        <v>30</v>
      </c>
      <c r="C3" s="36">
        <v>30</v>
      </c>
      <c r="D3" s="36">
        <v>30</v>
      </c>
      <c r="E3" s="36">
        <v>30</v>
      </c>
      <c r="F3" s="36">
        <v>30</v>
      </c>
      <c r="G3" s="36">
        <v>30</v>
      </c>
      <c r="H3" s="36">
        <v>20</v>
      </c>
      <c r="I3" s="36">
        <v>60</v>
      </c>
      <c r="J3" s="36"/>
      <c r="K3" s="36">
        <v>100</v>
      </c>
      <c r="L3" s="36">
        <v>30</v>
      </c>
      <c r="M3" s="36"/>
      <c r="N3" s="36"/>
      <c r="O3" s="36">
        <v>60</v>
      </c>
      <c r="P3" s="36">
        <v>60</v>
      </c>
      <c r="Q3" s="36">
        <v>60</v>
      </c>
      <c r="R3" s="36">
        <v>30</v>
      </c>
      <c r="S3" s="36">
        <v>30</v>
      </c>
      <c r="T3" s="8">
        <f t="shared" ref="T3:T8" si="0">SUM(B3:S3)</f>
        <v>630</v>
      </c>
    </row>
    <row r="4" spans="1:20" x14ac:dyDescent="0.25">
      <c r="A4" s="35" t="s">
        <v>152</v>
      </c>
      <c r="B4" s="36">
        <v>70</v>
      </c>
      <c r="C4" s="36"/>
      <c r="D4" s="36">
        <v>30</v>
      </c>
      <c r="E4" s="36">
        <v>60</v>
      </c>
      <c r="F4" s="36"/>
      <c r="G4" s="36"/>
      <c r="H4" s="36"/>
      <c r="I4" s="36">
        <v>120</v>
      </c>
      <c r="J4" s="36">
        <v>30</v>
      </c>
      <c r="K4" s="36"/>
      <c r="L4" s="36">
        <v>30</v>
      </c>
      <c r="M4" s="36"/>
      <c r="N4" s="36"/>
      <c r="O4" s="36">
        <v>100</v>
      </c>
      <c r="P4" s="36"/>
      <c r="Q4" s="36">
        <v>30</v>
      </c>
      <c r="R4" s="36"/>
      <c r="S4" s="36"/>
      <c r="T4" s="8">
        <f t="shared" si="0"/>
        <v>470</v>
      </c>
    </row>
    <row r="5" spans="1:20" x14ac:dyDescent="0.25">
      <c r="A5" s="35" t="s">
        <v>72</v>
      </c>
      <c r="B5" s="36">
        <v>0</v>
      </c>
      <c r="C5" s="36">
        <v>170</v>
      </c>
      <c r="D5" s="36"/>
      <c r="E5" s="36">
        <v>200</v>
      </c>
      <c r="F5" s="36"/>
      <c r="G5" s="36"/>
      <c r="H5" s="36"/>
      <c r="I5" s="36"/>
      <c r="J5" s="36">
        <v>200</v>
      </c>
      <c r="K5" s="36"/>
      <c r="L5" s="36"/>
      <c r="M5" s="36"/>
      <c r="N5" s="36"/>
      <c r="O5" s="36"/>
      <c r="P5" s="36">
        <v>200</v>
      </c>
      <c r="Q5" s="36">
        <v>0</v>
      </c>
      <c r="R5" s="36">
        <v>100</v>
      </c>
      <c r="S5" s="36">
        <v>30</v>
      </c>
      <c r="T5" s="8">
        <f t="shared" si="0"/>
        <v>900</v>
      </c>
    </row>
    <row r="6" spans="1:20" x14ac:dyDescent="0.25">
      <c r="A6" s="35" t="s">
        <v>73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>
        <v>231</v>
      </c>
      <c r="O6" s="36">
        <v>30</v>
      </c>
      <c r="P6" s="36">
        <v>60</v>
      </c>
      <c r="Q6" s="36"/>
      <c r="R6" s="36">
        <v>60</v>
      </c>
      <c r="S6" s="36">
        <v>60</v>
      </c>
      <c r="T6" s="8">
        <f t="shared" si="0"/>
        <v>441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130</v>
      </c>
      <c r="C9" s="2">
        <f t="shared" ref="C9:T9" si="1">SUM(C2:C8)</f>
        <v>230</v>
      </c>
      <c r="D9" s="2">
        <f t="shared" si="1"/>
        <v>90</v>
      </c>
      <c r="E9" s="2">
        <f t="shared" si="1"/>
        <v>320</v>
      </c>
      <c r="F9" s="2">
        <f t="shared" si="1"/>
        <v>30</v>
      </c>
      <c r="G9" s="2">
        <f t="shared" si="1"/>
        <v>90</v>
      </c>
      <c r="H9" s="2">
        <f t="shared" si="1"/>
        <v>20</v>
      </c>
      <c r="I9" s="2">
        <f t="shared" si="1"/>
        <v>300</v>
      </c>
      <c r="J9" s="2">
        <f t="shared" si="1"/>
        <v>230</v>
      </c>
      <c r="K9" s="2">
        <f t="shared" si="1"/>
        <v>160</v>
      </c>
      <c r="L9" s="2">
        <f t="shared" si="1"/>
        <v>60</v>
      </c>
      <c r="M9" s="2">
        <f t="shared" si="1"/>
        <v>0</v>
      </c>
      <c r="N9" s="2">
        <f t="shared" si="1"/>
        <v>231</v>
      </c>
      <c r="O9" s="2">
        <f t="shared" si="1"/>
        <v>250</v>
      </c>
      <c r="P9" s="2">
        <f t="shared" si="1"/>
        <v>320</v>
      </c>
      <c r="Q9" s="2">
        <f t="shared" si="1"/>
        <v>150</v>
      </c>
      <c r="R9" s="2">
        <f t="shared" si="1"/>
        <v>190</v>
      </c>
      <c r="S9" s="2">
        <f t="shared" si="1"/>
        <v>120</v>
      </c>
      <c r="T9" s="22">
        <f t="shared" si="1"/>
        <v>2921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69</v>
      </c>
      <c r="B21" s="7">
        <f t="shared" ref="B21:B26" si="4">(36*30)+10</f>
        <v>1090</v>
      </c>
      <c r="C21" s="7">
        <f>+T2+T11</f>
        <v>480</v>
      </c>
      <c r="D21" s="7">
        <f t="shared" ref="D21:D26" si="5">+B21-C21</f>
        <v>610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70</v>
      </c>
      <c r="B22" s="7">
        <f t="shared" si="4"/>
        <v>1090</v>
      </c>
      <c r="C22" s="7">
        <f>+T3+T12</f>
        <v>630</v>
      </c>
      <c r="D22" s="7">
        <f t="shared" si="5"/>
        <v>460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71</v>
      </c>
      <c r="B23" s="7">
        <f t="shared" si="4"/>
        <v>1090</v>
      </c>
      <c r="C23" s="7">
        <f>+T4+T13</f>
        <v>470</v>
      </c>
      <c r="D23" s="7">
        <f t="shared" si="5"/>
        <v>620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72</v>
      </c>
      <c r="B24" s="7">
        <f t="shared" si="4"/>
        <v>1090</v>
      </c>
      <c r="C24" s="7">
        <f>+T5+T14</f>
        <v>900</v>
      </c>
      <c r="D24" s="7">
        <f t="shared" si="5"/>
        <v>190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73</v>
      </c>
      <c r="B25" s="7">
        <f t="shared" si="4"/>
        <v>1090</v>
      </c>
      <c r="C25" s="7">
        <f>+T6+T15</f>
        <v>441</v>
      </c>
      <c r="D25" s="7">
        <f t="shared" si="5"/>
        <v>649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108D-F2B9-47E6-8FB7-B5A0B2E45921}">
  <sheetPr codeName="Sheet11"/>
  <dimension ref="A1:U27"/>
  <sheetViews>
    <sheetView workbookViewId="0">
      <selection activeCell="S2" sqref="S2"/>
    </sheetView>
  </sheetViews>
  <sheetFormatPr defaultRowHeight="15" x14ac:dyDescent="0.25"/>
  <cols>
    <col min="1" max="1" width="14.285156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74</v>
      </c>
      <c r="B2" s="36"/>
      <c r="C2" s="36"/>
      <c r="D2" s="36"/>
      <c r="E2" s="36"/>
      <c r="F2" s="36"/>
      <c r="G2" s="36"/>
      <c r="H2" s="36"/>
      <c r="I2" s="36">
        <v>30</v>
      </c>
      <c r="J2" s="36">
        <v>150</v>
      </c>
      <c r="K2" s="36"/>
      <c r="L2" s="36">
        <v>60</v>
      </c>
      <c r="M2" s="36"/>
      <c r="N2" s="36"/>
      <c r="O2" s="36">
        <v>120</v>
      </c>
      <c r="P2" s="36">
        <v>30</v>
      </c>
      <c r="Q2" s="36"/>
      <c r="R2" s="36">
        <v>30</v>
      </c>
      <c r="S2" s="36"/>
      <c r="T2" s="8">
        <f>SUM(B2:S2)</f>
        <v>420</v>
      </c>
    </row>
    <row r="3" spans="1:20" x14ac:dyDescent="0.25">
      <c r="A3" s="35" t="s">
        <v>75</v>
      </c>
      <c r="B3" s="36"/>
      <c r="C3" s="36">
        <v>30</v>
      </c>
      <c r="D3" s="36">
        <v>46.75</v>
      </c>
      <c r="E3" s="36">
        <v>240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>
        <v>240</v>
      </c>
      <c r="S3" s="36"/>
      <c r="T3" s="8">
        <f t="shared" ref="T3:T8" si="0">SUM(B3:S3)</f>
        <v>556.75</v>
      </c>
    </row>
    <row r="4" spans="1:20" x14ac:dyDescent="0.25">
      <c r="A4" s="35" t="s">
        <v>76</v>
      </c>
      <c r="B4" s="36"/>
      <c r="C4" s="36">
        <v>30</v>
      </c>
      <c r="D4" s="36">
        <v>46.75</v>
      </c>
      <c r="E4" s="36">
        <v>30</v>
      </c>
      <c r="F4" s="36"/>
      <c r="G4" s="36">
        <v>60</v>
      </c>
      <c r="H4" s="36"/>
      <c r="I4" s="36">
        <v>60</v>
      </c>
      <c r="J4" s="36"/>
      <c r="K4" s="36">
        <v>30</v>
      </c>
      <c r="L4" s="36"/>
      <c r="M4" s="36"/>
      <c r="N4" s="36"/>
      <c r="O4" s="36"/>
      <c r="P4" s="36">
        <v>60</v>
      </c>
      <c r="Q4" s="36"/>
      <c r="R4" s="36">
        <v>60</v>
      </c>
      <c r="S4" s="36"/>
      <c r="T4" s="8">
        <f t="shared" si="0"/>
        <v>376.75</v>
      </c>
    </row>
    <row r="5" spans="1:20" x14ac:dyDescent="0.25">
      <c r="A5" s="35" t="s">
        <v>77</v>
      </c>
      <c r="B5" s="36"/>
      <c r="C5" s="36"/>
      <c r="D5" s="36"/>
      <c r="E5" s="36"/>
      <c r="F5" s="36">
        <v>30</v>
      </c>
      <c r="G5" s="36">
        <v>30</v>
      </c>
      <c r="H5" s="36">
        <v>30</v>
      </c>
      <c r="I5" s="36">
        <v>30</v>
      </c>
      <c r="J5" s="36">
        <v>30</v>
      </c>
      <c r="K5" s="36">
        <v>30</v>
      </c>
      <c r="L5" s="36"/>
      <c r="M5" s="36"/>
      <c r="N5" s="36"/>
      <c r="O5" s="36">
        <v>30</v>
      </c>
      <c r="P5" s="36">
        <v>30</v>
      </c>
      <c r="Q5" s="36">
        <v>30</v>
      </c>
      <c r="R5" s="36">
        <v>30</v>
      </c>
      <c r="S5" s="36"/>
      <c r="T5" s="8">
        <f t="shared" si="0"/>
        <v>300</v>
      </c>
    </row>
    <row r="6" spans="1:20" x14ac:dyDescent="0.25">
      <c r="A6" s="35" t="s">
        <v>78</v>
      </c>
      <c r="B6" s="36"/>
      <c r="C6" s="36"/>
      <c r="D6" s="36"/>
      <c r="E6" s="36">
        <v>80.25</v>
      </c>
      <c r="F6" s="36">
        <v>90</v>
      </c>
      <c r="G6" s="36"/>
      <c r="H6" s="36">
        <v>90</v>
      </c>
      <c r="I6" s="36"/>
      <c r="J6" s="36"/>
      <c r="K6" s="36">
        <v>60</v>
      </c>
      <c r="L6" s="36">
        <v>30</v>
      </c>
      <c r="M6" s="36">
        <v>30</v>
      </c>
      <c r="N6" s="36">
        <v>60</v>
      </c>
      <c r="O6" s="36"/>
      <c r="P6" s="36">
        <v>30</v>
      </c>
      <c r="Q6" s="36">
        <v>120</v>
      </c>
      <c r="R6" s="36"/>
      <c r="S6" s="36"/>
      <c r="T6" s="8">
        <f t="shared" si="0"/>
        <v>590.25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0</v>
      </c>
      <c r="C9" s="2">
        <f t="shared" ref="C9:T9" si="1">SUM(C2:C8)</f>
        <v>60</v>
      </c>
      <c r="D9" s="2">
        <f t="shared" si="1"/>
        <v>93.5</v>
      </c>
      <c r="E9" s="2">
        <f t="shared" si="1"/>
        <v>350.25</v>
      </c>
      <c r="F9" s="2">
        <f t="shared" si="1"/>
        <v>120</v>
      </c>
      <c r="G9" s="2">
        <f t="shared" si="1"/>
        <v>90</v>
      </c>
      <c r="H9" s="2">
        <f t="shared" si="1"/>
        <v>120</v>
      </c>
      <c r="I9" s="2">
        <f t="shared" si="1"/>
        <v>120</v>
      </c>
      <c r="J9" s="2">
        <f t="shared" si="1"/>
        <v>180</v>
      </c>
      <c r="K9" s="2">
        <f t="shared" si="1"/>
        <v>120</v>
      </c>
      <c r="L9" s="2">
        <f t="shared" si="1"/>
        <v>90</v>
      </c>
      <c r="M9" s="2">
        <f t="shared" si="1"/>
        <v>30</v>
      </c>
      <c r="N9" s="2">
        <f t="shared" si="1"/>
        <v>60</v>
      </c>
      <c r="O9" s="2">
        <f t="shared" si="1"/>
        <v>150</v>
      </c>
      <c r="P9" s="2">
        <f t="shared" si="1"/>
        <v>150</v>
      </c>
      <c r="Q9" s="2">
        <f t="shared" si="1"/>
        <v>150</v>
      </c>
      <c r="R9" s="2">
        <f t="shared" si="1"/>
        <v>360</v>
      </c>
      <c r="S9" s="2">
        <f t="shared" si="1"/>
        <v>0</v>
      </c>
      <c r="T9" s="22">
        <f t="shared" si="1"/>
        <v>2243.75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74</v>
      </c>
      <c r="B21" s="7">
        <f>(36*30)+10-13.25-13.25-13.25-13.25-13.25-13.25-13.25</f>
        <v>997.25</v>
      </c>
      <c r="C21" s="7">
        <f>+T2+T11</f>
        <v>420</v>
      </c>
      <c r="D21" s="7">
        <f t="shared" ref="D21:D26" si="4">+B21-C21</f>
        <v>577.25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75</v>
      </c>
      <c r="B22" s="7">
        <f>(36*30)+10-13.25</f>
        <v>1076.75</v>
      </c>
      <c r="C22" s="7">
        <f>+T3+T12</f>
        <v>556.75</v>
      </c>
      <c r="D22" s="7">
        <f t="shared" si="4"/>
        <v>520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76</v>
      </c>
      <c r="B23" s="7">
        <f>(36*30)+10-13.25</f>
        <v>1076.75</v>
      </c>
      <c r="C23" s="7">
        <f>+T4+T13</f>
        <v>376.75</v>
      </c>
      <c r="D23" s="7">
        <f t="shared" si="4"/>
        <v>700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77</v>
      </c>
      <c r="B24" s="7">
        <f>(36*30)+10-13.25</f>
        <v>1076.75</v>
      </c>
      <c r="C24" s="7">
        <f>+T5+T14</f>
        <v>300</v>
      </c>
      <c r="D24" s="7">
        <f t="shared" si="4"/>
        <v>776.75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78</v>
      </c>
      <c r="B25" s="7">
        <f>(36*30)+10-13.25-13.25-13.25</f>
        <v>1050.25</v>
      </c>
      <c r="C25" s="7">
        <f>+T6+T15</f>
        <v>590.25</v>
      </c>
      <c r="D25" s="7">
        <f t="shared" si="4"/>
        <v>460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3043-6E50-4A37-8C90-9F02593C772A}">
  <sheetPr codeName="Sheet12"/>
  <dimension ref="A1:U27"/>
  <sheetViews>
    <sheetView workbookViewId="0">
      <selection activeCell="S7" sqref="S7"/>
    </sheetView>
  </sheetViews>
  <sheetFormatPr defaultRowHeight="15" x14ac:dyDescent="0.25"/>
  <cols>
    <col min="1" max="1" width="17.425781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79</v>
      </c>
      <c r="B2" s="36">
        <v>30</v>
      </c>
      <c r="C2" s="36">
        <v>30</v>
      </c>
      <c r="D2" s="36">
        <v>30</v>
      </c>
      <c r="E2" s="36">
        <v>30</v>
      </c>
      <c r="F2" s="36">
        <v>30</v>
      </c>
      <c r="G2" s="36">
        <v>30</v>
      </c>
      <c r="H2" s="36">
        <v>30</v>
      </c>
      <c r="I2" s="36">
        <v>90</v>
      </c>
      <c r="J2" s="36">
        <v>30</v>
      </c>
      <c r="K2" s="36">
        <v>30</v>
      </c>
      <c r="L2" s="36">
        <v>30</v>
      </c>
      <c r="M2" s="36">
        <v>30</v>
      </c>
      <c r="N2" s="36">
        <v>30</v>
      </c>
      <c r="O2" s="36">
        <v>30</v>
      </c>
      <c r="P2" s="36">
        <v>30</v>
      </c>
      <c r="Q2" s="36">
        <v>30</v>
      </c>
      <c r="R2" s="36">
        <v>30</v>
      </c>
      <c r="S2" s="36">
        <v>30</v>
      </c>
      <c r="T2" s="8">
        <f>SUM(B2:S2)</f>
        <v>600</v>
      </c>
    </row>
    <row r="3" spans="1:20" x14ac:dyDescent="0.25">
      <c r="A3" s="35" t="s">
        <v>80</v>
      </c>
      <c r="B3" s="36">
        <v>30</v>
      </c>
      <c r="C3" s="36">
        <v>30</v>
      </c>
      <c r="D3" s="36">
        <v>30</v>
      </c>
      <c r="E3" s="36">
        <v>30</v>
      </c>
      <c r="F3" s="36">
        <v>30</v>
      </c>
      <c r="G3" s="36">
        <v>30</v>
      </c>
      <c r="H3" s="36">
        <v>30</v>
      </c>
      <c r="I3" s="36">
        <v>90</v>
      </c>
      <c r="J3" s="36">
        <v>30</v>
      </c>
      <c r="K3" s="36">
        <v>30</v>
      </c>
      <c r="L3" s="36">
        <v>30</v>
      </c>
      <c r="M3" s="36">
        <v>30</v>
      </c>
      <c r="N3" s="36">
        <v>30</v>
      </c>
      <c r="O3" s="36">
        <v>30</v>
      </c>
      <c r="P3" s="36">
        <v>30</v>
      </c>
      <c r="Q3" s="36">
        <v>30</v>
      </c>
      <c r="R3" s="36">
        <v>30</v>
      </c>
      <c r="S3" s="36">
        <v>30</v>
      </c>
      <c r="T3" s="8">
        <f t="shared" ref="T3:T8" si="0">SUM(B3:S3)</f>
        <v>600</v>
      </c>
    </row>
    <row r="4" spans="1:20" x14ac:dyDescent="0.25">
      <c r="A4" s="35" t="s">
        <v>81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8">
        <f t="shared" si="0"/>
        <v>0</v>
      </c>
    </row>
    <row r="5" spans="1:20" x14ac:dyDescent="0.25">
      <c r="A5" s="35" t="s">
        <v>82</v>
      </c>
      <c r="B5" s="36">
        <v>30</v>
      </c>
      <c r="C5" s="36">
        <v>30</v>
      </c>
      <c r="D5" s="36">
        <v>30</v>
      </c>
      <c r="E5" s="36"/>
      <c r="F5" s="36">
        <v>60</v>
      </c>
      <c r="G5" s="36"/>
      <c r="H5" s="36"/>
      <c r="I5" s="36">
        <v>60</v>
      </c>
      <c r="J5" s="36"/>
      <c r="K5" s="36">
        <v>50</v>
      </c>
      <c r="L5" s="36">
        <v>100</v>
      </c>
      <c r="M5" s="36">
        <v>60</v>
      </c>
      <c r="N5" s="36"/>
      <c r="O5" s="36">
        <v>60</v>
      </c>
      <c r="P5" s="36"/>
      <c r="Q5" s="36">
        <v>60</v>
      </c>
      <c r="R5" s="36">
        <v>30</v>
      </c>
      <c r="S5" s="36">
        <v>30</v>
      </c>
      <c r="T5" s="8">
        <f t="shared" si="0"/>
        <v>600</v>
      </c>
    </row>
    <row r="6" spans="1:20" x14ac:dyDescent="0.25">
      <c r="A6" s="35" t="s">
        <v>83</v>
      </c>
      <c r="B6" s="36">
        <v>30</v>
      </c>
      <c r="C6" s="36">
        <v>30</v>
      </c>
      <c r="D6" s="36">
        <v>30</v>
      </c>
      <c r="E6" s="36">
        <v>30</v>
      </c>
      <c r="F6" s="36">
        <v>30</v>
      </c>
      <c r="G6" s="36">
        <v>30</v>
      </c>
      <c r="H6" s="36">
        <v>30</v>
      </c>
      <c r="I6" s="36">
        <v>90</v>
      </c>
      <c r="J6" s="36">
        <v>30</v>
      </c>
      <c r="K6" s="36">
        <v>30</v>
      </c>
      <c r="L6" s="36">
        <v>30</v>
      </c>
      <c r="M6" s="36">
        <v>30</v>
      </c>
      <c r="N6" s="36">
        <v>30</v>
      </c>
      <c r="O6" s="36">
        <v>30</v>
      </c>
      <c r="P6" s="36">
        <v>30</v>
      </c>
      <c r="Q6" s="36">
        <v>30</v>
      </c>
      <c r="R6" s="36">
        <v>30</v>
      </c>
      <c r="S6" s="36">
        <v>30</v>
      </c>
      <c r="T6" s="8">
        <f t="shared" si="0"/>
        <v>600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>
        <v>0</v>
      </c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120</v>
      </c>
      <c r="C9" s="2">
        <f t="shared" ref="C9:T9" si="1">SUM(C2:C8)</f>
        <v>120</v>
      </c>
      <c r="D9" s="2">
        <f t="shared" si="1"/>
        <v>120</v>
      </c>
      <c r="E9" s="2">
        <f t="shared" si="1"/>
        <v>90</v>
      </c>
      <c r="F9" s="2">
        <f t="shared" si="1"/>
        <v>150</v>
      </c>
      <c r="G9" s="2">
        <f t="shared" si="1"/>
        <v>90</v>
      </c>
      <c r="H9" s="2">
        <f t="shared" si="1"/>
        <v>90</v>
      </c>
      <c r="I9" s="2">
        <f t="shared" si="1"/>
        <v>330</v>
      </c>
      <c r="J9" s="2">
        <f t="shared" si="1"/>
        <v>90</v>
      </c>
      <c r="K9" s="2">
        <f t="shared" si="1"/>
        <v>140</v>
      </c>
      <c r="L9" s="2">
        <f t="shared" si="1"/>
        <v>190</v>
      </c>
      <c r="M9" s="2">
        <f t="shared" si="1"/>
        <v>150</v>
      </c>
      <c r="N9" s="2">
        <f t="shared" si="1"/>
        <v>90</v>
      </c>
      <c r="O9" s="2">
        <f t="shared" si="1"/>
        <v>150</v>
      </c>
      <c r="P9" s="2">
        <f t="shared" si="1"/>
        <v>90</v>
      </c>
      <c r="Q9" s="2">
        <f t="shared" si="1"/>
        <v>150</v>
      </c>
      <c r="R9" s="2">
        <f t="shared" si="1"/>
        <v>120</v>
      </c>
      <c r="S9" s="2">
        <f t="shared" si="1"/>
        <v>120</v>
      </c>
      <c r="T9" s="22">
        <f t="shared" si="1"/>
        <v>2400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79</v>
      </c>
      <c r="B21" s="7">
        <f>(36*30)+10</f>
        <v>1090</v>
      </c>
      <c r="C21" s="7">
        <f>+T2+T11</f>
        <v>600</v>
      </c>
      <c r="D21" s="7">
        <f t="shared" ref="D21:D26" si="4">+B21-C21</f>
        <v>490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80</v>
      </c>
      <c r="B22" s="7">
        <f>(36*30)+10</f>
        <v>1090</v>
      </c>
      <c r="C22" s="7">
        <f>+T3+T12</f>
        <v>600</v>
      </c>
      <c r="D22" s="7">
        <f t="shared" si="4"/>
        <v>490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81</v>
      </c>
      <c r="B23" s="7">
        <f>(36*30)+10-13.25-13.25</f>
        <v>1063.5</v>
      </c>
      <c r="C23" s="7">
        <f>+T4+T13</f>
        <v>0</v>
      </c>
      <c r="D23" s="7">
        <f t="shared" si="4"/>
        <v>1063.5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82</v>
      </c>
      <c r="B24" s="7">
        <f>(36*30)+10</f>
        <v>1090</v>
      </c>
      <c r="C24" s="7">
        <f>+T5+T14</f>
        <v>600</v>
      </c>
      <c r="D24" s="7">
        <f t="shared" si="4"/>
        <v>490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83</v>
      </c>
      <c r="B25" s="7">
        <f>(36*30)+10</f>
        <v>1090</v>
      </c>
      <c r="C25" s="7">
        <f>+T6+T15</f>
        <v>600</v>
      </c>
      <c r="D25" s="7">
        <f t="shared" si="4"/>
        <v>490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1A0-9FF2-443D-9EF5-B25FBB4DEC19}">
  <sheetPr codeName="Sheet13"/>
  <dimension ref="A1:U27"/>
  <sheetViews>
    <sheetView workbookViewId="0">
      <selection activeCell="S5" sqref="S5"/>
    </sheetView>
  </sheetViews>
  <sheetFormatPr defaultRowHeight="15" x14ac:dyDescent="0.25"/>
  <cols>
    <col min="1" max="1" width="14.285156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84</v>
      </c>
      <c r="B2" s="36">
        <v>180</v>
      </c>
      <c r="C2" s="36"/>
      <c r="D2" s="36"/>
      <c r="E2" s="36">
        <v>120</v>
      </c>
      <c r="F2" s="36"/>
      <c r="G2" s="36"/>
      <c r="H2" s="36"/>
      <c r="I2" s="36">
        <v>150</v>
      </c>
      <c r="J2" s="36"/>
      <c r="K2" s="36"/>
      <c r="L2" s="36"/>
      <c r="M2" s="36"/>
      <c r="N2" s="36">
        <v>120</v>
      </c>
      <c r="O2" s="36"/>
      <c r="P2" s="36"/>
      <c r="Q2" s="36"/>
      <c r="R2" s="36">
        <v>120</v>
      </c>
      <c r="S2" s="36"/>
      <c r="T2" s="8">
        <f>SUM(B2:S2)</f>
        <v>690</v>
      </c>
    </row>
    <row r="3" spans="1:20" x14ac:dyDescent="0.25">
      <c r="A3" s="35" t="s">
        <v>85</v>
      </c>
      <c r="B3" s="36">
        <v>120</v>
      </c>
      <c r="C3" s="36"/>
      <c r="D3" s="36"/>
      <c r="E3" s="36"/>
      <c r="F3" s="36">
        <v>120</v>
      </c>
      <c r="G3" s="36"/>
      <c r="H3" s="36">
        <v>120</v>
      </c>
      <c r="I3" s="36"/>
      <c r="J3" s="36"/>
      <c r="K3" s="36"/>
      <c r="L3" s="36">
        <v>120</v>
      </c>
      <c r="M3" s="36"/>
      <c r="N3" s="36"/>
      <c r="O3" s="36"/>
      <c r="P3" s="36"/>
      <c r="Q3" s="36"/>
      <c r="R3" s="36"/>
      <c r="S3" s="36"/>
      <c r="T3" s="8">
        <f t="shared" ref="T3:T8" si="0">SUM(B3:S3)</f>
        <v>480</v>
      </c>
    </row>
    <row r="4" spans="1:20" x14ac:dyDescent="0.25">
      <c r="A4" s="35" t="s">
        <v>86</v>
      </c>
      <c r="B4" s="36">
        <v>30</v>
      </c>
      <c r="C4" s="36">
        <v>60</v>
      </c>
      <c r="D4" s="36">
        <v>30</v>
      </c>
      <c r="E4" s="36"/>
      <c r="F4" s="36">
        <v>30</v>
      </c>
      <c r="G4" s="36">
        <v>30</v>
      </c>
      <c r="H4" s="36">
        <v>30</v>
      </c>
      <c r="I4" s="36">
        <v>30</v>
      </c>
      <c r="J4" s="36">
        <v>30</v>
      </c>
      <c r="K4" s="36">
        <v>30</v>
      </c>
      <c r="L4" s="36">
        <v>60</v>
      </c>
      <c r="M4" s="36"/>
      <c r="N4" s="36">
        <v>30</v>
      </c>
      <c r="O4" s="36"/>
      <c r="P4" s="36">
        <v>150</v>
      </c>
      <c r="Q4" s="36"/>
      <c r="R4" s="36"/>
      <c r="S4" s="36">
        <v>60</v>
      </c>
      <c r="T4" s="8">
        <f t="shared" si="0"/>
        <v>600</v>
      </c>
    </row>
    <row r="5" spans="1:20" x14ac:dyDescent="0.25">
      <c r="A5" s="35" t="s">
        <v>87</v>
      </c>
      <c r="B5" s="36">
        <v>300</v>
      </c>
      <c r="C5" s="36"/>
      <c r="D5" s="36"/>
      <c r="E5" s="36"/>
      <c r="F5" s="36"/>
      <c r="G5" s="36">
        <v>300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600</v>
      </c>
    </row>
    <row r="6" spans="1:20" x14ac:dyDescent="0.25">
      <c r="A6" s="35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8">
        <f t="shared" si="0"/>
        <v>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630</v>
      </c>
      <c r="C9" s="2">
        <f t="shared" ref="C9:T9" si="1">SUM(C2:C8)</f>
        <v>60</v>
      </c>
      <c r="D9" s="2">
        <f t="shared" si="1"/>
        <v>30</v>
      </c>
      <c r="E9" s="2">
        <f t="shared" si="1"/>
        <v>120</v>
      </c>
      <c r="F9" s="2">
        <f t="shared" si="1"/>
        <v>150</v>
      </c>
      <c r="G9" s="2">
        <f t="shared" si="1"/>
        <v>330</v>
      </c>
      <c r="H9" s="2">
        <f t="shared" si="1"/>
        <v>150</v>
      </c>
      <c r="I9" s="2">
        <f t="shared" si="1"/>
        <v>180</v>
      </c>
      <c r="J9" s="2">
        <f t="shared" si="1"/>
        <v>30</v>
      </c>
      <c r="K9" s="2">
        <f t="shared" si="1"/>
        <v>30</v>
      </c>
      <c r="L9" s="2">
        <f t="shared" si="1"/>
        <v>180</v>
      </c>
      <c r="M9" s="2">
        <f t="shared" si="1"/>
        <v>0</v>
      </c>
      <c r="N9" s="2">
        <f t="shared" si="1"/>
        <v>150</v>
      </c>
      <c r="O9" s="2">
        <f t="shared" si="1"/>
        <v>0</v>
      </c>
      <c r="P9" s="2">
        <f t="shared" si="1"/>
        <v>150</v>
      </c>
      <c r="Q9" s="2">
        <f t="shared" si="1"/>
        <v>0</v>
      </c>
      <c r="R9" s="2">
        <f t="shared" si="1"/>
        <v>120</v>
      </c>
      <c r="S9" s="2">
        <f t="shared" si="1"/>
        <v>60</v>
      </c>
      <c r="T9" s="22">
        <f t="shared" si="1"/>
        <v>2370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84</v>
      </c>
      <c r="B21" s="7">
        <f t="shared" ref="B21:B26" si="4">(36*30)+10</f>
        <v>1090</v>
      </c>
      <c r="C21" s="7">
        <f>+T2+T11</f>
        <v>690</v>
      </c>
      <c r="D21" s="7">
        <f t="shared" ref="D21:D26" si="5">+B21-C21</f>
        <v>400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85</v>
      </c>
      <c r="B22" s="7">
        <f t="shared" si="4"/>
        <v>1090</v>
      </c>
      <c r="C22" s="7">
        <f>+T3+T12</f>
        <v>480</v>
      </c>
      <c r="D22" s="7">
        <f t="shared" si="5"/>
        <v>610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86</v>
      </c>
      <c r="B23" s="7">
        <f t="shared" si="4"/>
        <v>1090</v>
      </c>
      <c r="C23" s="7">
        <f>+T4+T13</f>
        <v>600</v>
      </c>
      <c r="D23" s="7">
        <f t="shared" si="5"/>
        <v>490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87</v>
      </c>
      <c r="B24" s="7">
        <f t="shared" si="4"/>
        <v>1090</v>
      </c>
      <c r="C24" s="7">
        <f>+T5+T14</f>
        <v>600</v>
      </c>
      <c r="D24" s="7">
        <f t="shared" si="5"/>
        <v>490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6">
        <v>5</v>
      </c>
      <c r="B25" s="7">
        <f t="shared" si="4"/>
        <v>1090</v>
      </c>
      <c r="C25" s="7">
        <f>+T6+T15</f>
        <v>0</v>
      </c>
      <c r="D25" s="7">
        <f t="shared" si="5"/>
        <v>1090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274D-C400-4D82-8337-C4EB4D79ADCF}">
  <sheetPr codeName="Sheet14"/>
  <dimension ref="A1:U27"/>
  <sheetViews>
    <sheetView workbookViewId="0">
      <selection activeCell="S7" sqref="S7"/>
    </sheetView>
  </sheetViews>
  <sheetFormatPr defaultRowHeight="15" x14ac:dyDescent="0.25"/>
  <cols>
    <col min="1" max="1" width="15.425781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88</v>
      </c>
      <c r="B2" s="36">
        <v>30</v>
      </c>
      <c r="C2" s="36">
        <v>30</v>
      </c>
      <c r="D2" s="36"/>
      <c r="E2" s="36">
        <v>30</v>
      </c>
      <c r="F2" s="36"/>
      <c r="G2" s="36"/>
      <c r="H2" s="36"/>
      <c r="I2" s="36"/>
      <c r="J2" s="36"/>
      <c r="K2" s="36"/>
      <c r="L2" s="36"/>
      <c r="M2" s="36">
        <v>30</v>
      </c>
      <c r="N2" s="36">
        <v>30</v>
      </c>
      <c r="O2" s="36">
        <v>30</v>
      </c>
      <c r="P2" s="36"/>
      <c r="Q2" s="36"/>
      <c r="R2" s="36"/>
      <c r="S2" s="36">
        <v>30</v>
      </c>
      <c r="T2" s="8">
        <f>SUM(B2:S2)</f>
        <v>210</v>
      </c>
    </row>
    <row r="3" spans="1:20" x14ac:dyDescent="0.25">
      <c r="A3" s="35" t="s">
        <v>89</v>
      </c>
      <c r="B3" s="36">
        <v>30</v>
      </c>
      <c r="C3" s="36">
        <v>60</v>
      </c>
      <c r="D3" s="36"/>
      <c r="E3" s="36">
        <v>120</v>
      </c>
      <c r="F3" s="36"/>
      <c r="G3" s="36"/>
      <c r="H3" s="36"/>
      <c r="I3" s="36">
        <v>180</v>
      </c>
      <c r="J3" s="36"/>
      <c r="K3" s="36"/>
      <c r="L3" s="36"/>
      <c r="M3" s="36">
        <v>150</v>
      </c>
      <c r="N3" s="36"/>
      <c r="O3" s="36"/>
      <c r="P3" s="36"/>
      <c r="Q3" s="36"/>
      <c r="R3" s="36">
        <v>90</v>
      </c>
      <c r="S3" s="36"/>
      <c r="T3" s="8">
        <f t="shared" ref="T3:T8" si="0">SUM(B3:S3)</f>
        <v>630</v>
      </c>
    </row>
    <row r="4" spans="1:20" x14ac:dyDescent="0.25">
      <c r="A4" s="35" t="s">
        <v>90</v>
      </c>
      <c r="B4" s="36">
        <v>30</v>
      </c>
      <c r="C4" s="36">
        <v>60</v>
      </c>
      <c r="D4" s="36">
        <v>30</v>
      </c>
      <c r="E4" s="36">
        <v>30</v>
      </c>
      <c r="F4" s="36">
        <v>30</v>
      </c>
      <c r="G4" s="36">
        <v>30</v>
      </c>
      <c r="H4" s="36"/>
      <c r="I4" s="36">
        <v>60</v>
      </c>
      <c r="J4" s="36"/>
      <c r="K4" s="36"/>
      <c r="L4" s="36"/>
      <c r="M4" s="36"/>
      <c r="N4" s="36">
        <v>120</v>
      </c>
      <c r="O4" s="36"/>
      <c r="P4" s="36"/>
      <c r="Q4" s="36"/>
      <c r="R4" s="36">
        <v>150</v>
      </c>
      <c r="S4" s="36">
        <v>30</v>
      </c>
      <c r="T4" s="8">
        <f t="shared" si="0"/>
        <v>570</v>
      </c>
    </row>
    <row r="5" spans="1:20" x14ac:dyDescent="0.25">
      <c r="A5" s="35" t="s">
        <v>91</v>
      </c>
      <c r="B5" s="36">
        <v>30</v>
      </c>
      <c r="C5" s="36">
        <v>30</v>
      </c>
      <c r="D5" s="36">
        <v>60</v>
      </c>
      <c r="E5" s="36">
        <v>30</v>
      </c>
      <c r="F5" s="36"/>
      <c r="G5" s="36">
        <v>60</v>
      </c>
      <c r="H5" s="36">
        <v>30</v>
      </c>
      <c r="I5" s="36"/>
      <c r="J5" s="36">
        <v>30</v>
      </c>
      <c r="K5" s="36"/>
      <c r="L5" s="36"/>
      <c r="M5" s="36"/>
      <c r="N5" s="36"/>
      <c r="O5" s="36"/>
      <c r="P5" s="36">
        <v>120</v>
      </c>
      <c r="Q5" s="36"/>
      <c r="R5" s="36"/>
      <c r="S5" s="36">
        <v>60</v>
      </c>
      <c r="T5" s="8">
        <f t="shared" si="0"/>
        <v>450</v>
      </c>
    </row>
    <row r="6" spans="1:20" x14ac:dyDescent="0.25">
      <c r="A6" s="35" t="s">
        <v>127</v>
      </c>
      <c r="B6" s="36">
        <v>30</v>
      </c>
      <c r="C6" s="36">
        <v>30</v>
      </c>
      <c r="D6" s="36">
        <v>30</v>
      </c>
      <c r="E6" s="36"/>
      <c r="F6" s="36"/>
      <c r="G6" s="36"/>
      <c r="H6" s="36">
        <v>120</v>
      </c>
      <c r="I6" s="36">
        <v>60</v>
      </c>
      <c r="J6" s="36">
        <v>120</v>
      </c>
      <c r="K6" s="36"/>
      <c r="L6" s="36"/>
      <c r="M6" s="36"/>
      <c r="N6" s="36"/>
      <c r="O6" s="36"/>
      <c r="P6" s="36">
        <v>60</v>
      </c>
      <c r="Q6" s="36">
        <v>60</v>
      </c>
      <c r="R6" s="36">
        <v>60</v>
      </c>
      <c r="S6" s="36">
        <v>120</v>
      </c>
      <c r="T6" s="8">
        <f t="shared" si="0"/>
        <v>690</v>
      </c>
    </row>
    <row r="7" spans="1:20" x14ac:dyDescent="0.25">
      <c r="A7" s="35">
        <v>0</v>
      </c>
      <c r="B7" s="36" t="s">
        <v>154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150</v>
      </c>
      <c r="C9" s="2">
        <f t="shared" ref="C9:T9" si="1">SUM(C2:C8)</f>
        <v>210</v>
      </c>
      <c r="D9" s="2">
        <f t="shared" si="1"/>
        <v>120</v>
      </c>
      <c r="E9" s="2">
        <f t="shared" si="1"/>
        <v>210</v>
      </c>
      <c r="F9" s="2">
        <f t="shared" si="1"/>
        <v>30</v>
      </c>
      <c r="G9" s="2">
        <f t="shared" si="1"/>
        <v>90</v>
      </c>
      <c r="H9" s="2">
        <f t="shared" si="1"/>
        <v>150</v>
      </c>
      <c r="I9" s="2">
        <f t="shared" si="1"/>
        <v>300</v>
      </c>
      <c r="J9" s="2">
        <f t="shared" si="1"/>
        <v>150</v>
      </c>
      <c r="K9" s="2">
        <f t="shared" si="1"/>
        <v>0</v>
      </c>
      <c r="L9" s="2">
        <f t="shared" si="1"/>
        <v>0</v>
      </c>
      <c r="M9" s="2">
        <f t="shared" si="1"/>
        <v>180</v>
      </c>
      <c r="N9" s="2">
        <f t="shared" si="1"/>
        <v>150</v>
      </c>
      <c r="O9" s="2">
        <f t="shared" si="1"/>
        <v>30</v>
      </c>
      <c r="P9" s="2">
        <f t="shared" si="1"/>
        <v>180</v>
      </c>
      <c r="Q9" s="2">
        <f t="shared" si="1"/>
        <v>60</v>
      </c>
      <c r="R9" s="2">
        <f t="shared" si="1"/>
        <v>300</v>
      </c>
      <c r="S9" s="2">
        <f t="shared" si="1"/>
        <v>240</v>
      </c>
      <c r="T9" s="22">
        <f t="shared" si="1"/>
        <v>2550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88</v>
      </c>
      <c r="B21" s="7">
        <f t="shared" ref="B21:B26" si="4">(36*30)+10</f>
        <v>1090</v>
      </c>
      <c r="C21" s="7">
        <f>+T2+T11</f>
        <v>210</v>
      </c>
      <c r="D21" s="7">
        <f t="shared" ref="D21:D26" si="5">+B21-C21</f>
        <v>880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89</v>
      </c>
      <c r="B22" s="7">
        <f t="shared" si="4"/>
        <v>1090</v>
      </c>
      <c r="C22" s="7">
        <f>+T3+T12</f>
        <v>630</v>
      </c>
      <c r="D22" s="7">
        <f t="shared" si="5"/>
        <v>460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90</v>
      </c>
      <c r="B23" s="7">
        <f t="shared" si="4"/>
        <v>1090</v>
      </c>
      <c r="C23" s="7">
        <f>+T4+T13</f>
        <v>570</v>
      </c>
      <c r="D23" s="7">
        <f t="shared" si="5"/>
        <v>520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91</v>
      </c>
      <c r="B24" s="7">
        <f t="shared" si="4"/>
        <v>1090</v>
      </c>
      <c r="C24" s="7">
        <f>+T5+T14</f>
        <v>450</v>
      </c>
      <c r="D24" s="7">
        <f t="shared" si="5"/>
        <v>640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6">
        <v>5</v>
      </c>
      <c r="B25" s="7">
        <f t="shared" si="4"/>
        <v>1090</v>
      </c>
      <c r="C25" s="7">
        <f>+T6+T15</f>
        <v>690</v>
      </c>
      <c r="D25" s="7">
        <f t="shared" si="5"/>
        <v>400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85E4-F48B-43D4-A172-D18BB7D5EB45}">
  <sheetPr codeName="Sheet15"/>
  <dimension ref="A1:U27"/>
  <sheetViews>
    <sheetView workbookViewId="0">
      <selection activeCell="S7" sqref="S7"/>
    </sheetView>
  </sheetViews>
  <sheetFormatPr defaultRowHeight="15" x14ac:dyDescent="0.25"/>
  <cols>
    <col min="1" max="1" width="14.285156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4" width="9.140625" style="1"/>
    <col min="15" max="15" width="11.5703125" style="1" bestFit="1" customWidth="1"/>
    <col min="16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92</v>
      </c>
      <c r="B2" s="36"/>
      <c r="C2" s="36">
        <v>90</v>
      </c>
      <c r="D2" s="36"/>
      <c r="E2" s="36"/>
      <c r="F2" s="36"/>
      <c r="G2" s="36"/>
      <c r="H2" s="36"/>
      <c r="I2" s="36">
        <v>90</v>
      </c>
      <c r="J2" s="36"/>
      <c r="K2" s="36">
        <v>60</v>
      </c>
      <c r="L2" s="36"/>
      <c r="M2" s="36"/>
      <c r="N2" s="36"/>
      <c r="O2" s="36"/>
      <c r="P2" s="36"/>
      <c r="Q2" s="36"/>
      <c r="R2" s="36"/>
      <c r="S2" s="36"/>
      <c r="T2" s="8">
        <f>SUM(B2:S2)</f>
        <v>240</v>
      </c>
    </row>
    <row r="3" spans="1:20" x14ac:dyDescent="0.25">
      <c r="A3" s="35" t="s">
        <v>93</v>
      </c>
      <c r="B3" s="36">
        <v>60</v>
      </c>
      <c r="C3" s="36"/>
      <c r="D3" s="36">
        <v>60</v>
      </c>
      <c r="E3" s="36">
        <v>60</v>
      </c>
      <c r="F3" s="36"/>
      <c r="G3" s="36">
        <v>60</v>
      </c>
      <c r="H3" s="36"/>
      <c r="I3" s="36"/>
      <c r="J3" s="36"/>
      <c r="K3" s="36">
        <v>90</v>
      </c>
      <c r="L3" s="36"/>
      <c r="M3" s="36">
        <v>90</v>
      </c>
      <c r="N3" s="36"/>
      <c r="O3" s="36">
        <v>60</v>
      </c>
      <c r="P3" s="36"/>
      <c r="Q3" s="36"/>
      <c r="R3" s="36"/>
      <c r="S3" s="36">
        <v>60</v>
      </c>
      <c r="T3" s="8">
        <f t="shared" ref="T3:T8" si="0">SUM(B3:S3)</f>
        <v>540</v>
      </c>
    </row>
    <row r="4" spans="1:20" x14ac:dyDescent="0.25">
      <c r="A4" s="35" t="s">
        <v>94</v>
      </c>
      <c r="B4" s="36">
        <v>90</v>
      </c>
      <c r="C4" s="36">
        <v>60</v>
      </c>
      <c r="D4" s="36">
        <v>60</v>
      </c>
      <c r="E4" s="36">
        <v>60</v>
      </c>
      <c r="F4" s="36">
        <v>60</v>
      </c>
      <c r="G4" s="36">
        <v>60</v>
      </c>
      <c r="H4" s="36">
        <v>60</v>
      </c>
      <c r="I4" s="36">
        <v>60</v>
      </c>
      <c r="J4" s="36">
        <v>60</v>
      </c>
      <c r="K4" s="36">
        <v>60</v>
      </c>
      <c r="L4" s="36">
        <v>90</v>
      </c>
      <c r="M4" s="36">
        <v>60</v>
      </c>
      <c r="N4" s="36"/>
      <c r="O4" s="36">
        <v>120</v>
      </c>
      <c r="P4" s="36">
        <v>120</v>
      </c>
      <c r="Q4" s="36">
        <v>60</v>
      </c>
      <c r="R4" s="36">
        <v>60</v>
      </c>
      <c r="S4" s="36"/>
      <c r="T4" s="8">
        <f t="shared" si="0"/>
        <v>1140</v>
      </c>
    </row>
    <row r="5" spans="1:20" x14ac:dyDescent="0.25">
      <c r="A5" s="35" t="s">
        <v>95</v>
      </c>
      <c r="B5" s="36">
        <v>30</v>
      </c>
      <c r="C5" s="36">
        <v>30</v>
      </c>
      <c r="D5" s="36">
        <v>30</v>
      </c>
      <c r="E5" s="36">
        <v>30</v>
      </c>
      <c r="F5" s="36">
        <v>30</v>
      </c>
      <c r="G5" s="36">
        <v>30</v>
      </c>
      <c r="H5" s="36">
        <v>30</v>
      </c>
      <c r="I5" s="36">
        <v>30</v>
      </c>
      <c r="J5" s="36">
        <v>90</v>
      </c>
      <c r="K5" s="36">
        <v>30</v>
      </c>
      <c r="L5" s="36">
        <v>30</v>
      </c>
      <c r="M5" s="36">
        <v>30</v>
      </c>
      <c r="N5" s="36"/>
      <c r="O5" s="36">
        <v>60</v>
      </c>
      <c r="P5" s="36">
        <v>30</v>
      </c>
      <c r="Q5" s="36">
        <v>30</v>
      </c>
      <c r="R5" s="36">
        <v>30</v>
      </c>
      <c r="S5" s="36">
        <v>30</v>
      </c>
      <c r="T5" s="8">
        <f t="shared" si="0"/>
        <v>600</v>
      </c>
    </row>
    <row r="6" spans="1:20" x14ac:dyDescent="0.25">
      <c r="A6" s="35" t="s">
        <v>96</v>
      </c>
      <c r="B6" s="36">
        <v>30</v>
      </c>
      <c r="C6" s="36"/>
      <c r="D6" s="36">
        <v>60</v>
      </c>
      <c r="E6" s="36">
        <v>30</v>
      </c>
      <c r="F6" s="36">
        <v>120</v>
      </c>
      <c r="G6" s="36"/>
      <c r="H6" s="36">
        <v>30</v>
      </c>
      <c r="I6" s="36">
        <v>60</v>
      </c>
      <c r="J6" s="36"/>
      <c r="K6" s="36"/>
      <c r="L6" s="36"/>
      <c r="M6" s="36"/>
      <c r="N6" s="36"/>
      <c r="O6" s="36">
        <v>150</v>
      </c>
      <c r="P6" s="36"/>
      <c r="Q6" s="36">
        <v>90</v>
      </c>
      <c r="R6" s="36">
        <v>90</v>
      </c>
      <c r="S6" s="36">
        <v>60</v>
      </c>
      <c r="T6" s="8">
        <f t="shared" si="0"/>
        <v>720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0</v>
      </c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210</v>
      </c>
      <c r="C9" s="2">
        <f t="shared" ref="C9:T9" si="1">SUM(C2:C8)</f>
        <v>180</v>
      </c>
      <c r="D9" s="2">
        <f t="shared" si="1"/>
        <v>210</v>
      </c>
      <c r="E9" s="2">
        <f t="shared" si="1"/>
        <v>180</v>
      </c>
      <c r="F9" s="2">
        <f t="shared" si="1"/>
        <v>210</v>
      </c>
      <c r="G9" s="2">
        <f t="shared" si="1"/>
        <v>150</v>
      </c>
      <c r="H9" s="2">
        <f t="shared" si="1"/>
        <v>120</v>
      </c>
      <c r="I9" s="2">
        <f t="shared" si="1"/>
        <v>240</v>
      </c>
      <c r="J9" s="2">
        <f t="shared" si="1"/>
        <v>150</v>
      </c>
      <c r="K9" s="2">
        <f t="shared" si="1"/>
        <v>240</v>
      </c>
      <c r="L9" s="2">
        <f t="shared" si="1"/>
        <v>120</v>
      </c>
      <c r="M9" s="2">
        <f t="shared" si="1"/>
        <v>180</v>
      </c>
      <c r="N9" s="2">
        <f t="shared" si="1"/>
        <v>0</v>
      </c>
      <c r="O9" s="2">
        <f t="shared" si="1"/>
        <v>390</v>
      </c>
      <c r="P9" s="2">
        <f t="shared" si="1"/>
        <v>150</v>
      </c>
      <c r="Q9" s="2">
        <f t="shared" si="1"/>
        <v>180</v>
      </c>
      <c r="R9" s="2">
        <f t="shared" si="1"/>
        <v>180</v>
      </c>
      <c r="S9" s="2">
        <f t="shared" si="1"/>
        <v>150</v>
      </c>
      <c r="T9" s="22">
        <f t="shared" si="1"/>
        <v>3240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92</v>
      </c>
      <c r="B21" s="7">
        <f t="shared" ref="B21:B26" si="4">(36*30)+10</f>
        <v>1090</v>
      </c>
      <c r="C21" s="7">
        <f>+T2+T11</f>
        <v>240</v>
      </c>
      <c r="D21" s="7">
        <f t="shared" ref="D21:D26" si="5">+B21-C21</f>
        <v>850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93</v>
      </c>
      <c r="B22" s="7">
        <f t="shared" si="4"/>
        <v>1090</v>
      </c>
      <c r="C22" s="7">
        <f>+T3+T12</f>
        <v>540</v>
      </c>
      <c r="D22" s="7">
        <f t="shared" si="5"/>
        <v>550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94</v>
      </c>
      <c r="B23" s="7">
        <f t="shared" si="4"/>
        <v>1090</v>
      </c>
      <c r="C23" s="7">
        <f>+T4+T13</f>
        <v>1140</v>
      </c>
      <c r="D23" s="7">
        <f t="shared" si="5"/>
        <v>-50</v>
      </c>
      <c r="F23" s="36">
        <v>0</v>
      </c>
      <c r="G23" s="36">
        <v>0</v>
      </c>
      <c r="H23" s="8">
        <f t="shared" si="6"/>
        <v>0</v>
      </c>
      <c r="J23" s="2"/>
      <c r="L23" s="1" t="s">
        <v>170</v>
      </c>
    </row>
    <row r="24" spans="1:20" x14ac:dyDescent="0.25">
      <c r="A24" s="35" t="s">
        <v>95</v>
      </c>
      <c r="B24" s="7">
        <f t="shared" si="4"/>
        <v>1090</v>
      </c>
      <c r="C24" s="7">
        <f>+T5+T14</f>
        <v>600</v>
      </c>
      <c r="D24" s="7">
        <f t="shared" si="5"/>
        <v>490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96</v>
      </c>
      <c r="B25" s="7">
        <f t="shared" si="4"/>
        <v>1090</v>
      </c>
      <c r="C25" s="7">
        <f>+T6+T15</f>
        <v>720</v>
      </c>
      <c r="D25" s="7">
        <f t="shared" si="5"/>
        <v>370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3003-E840-468E-A4FA-54D4260C2CD7}">
  <sheetPr codeName="Sheet24"/>
  <dimension ref="A1:U27"/>
  <sheetViews>
    <sheetView workbookViewId="0">
      <selection activeCell="W12" sqref="W12"/>
    </sheetView>
  </sheetViews>
  <sheetFormatPr defaultRowHeight="15" x14ac:dyDescent="0.25"/>
  <cols>
    <col min="1" max="1" width="14.28515625" bestFit="1" customWidth="1"/>
    <col min="2" max="2" width="12.5703125" style="1" bestFit="1" customWidth="1"/>
    <col min="3" max="3" width="9.5703125" style="1" bestFit="1" customWidth="1"/>
    <col min="4" max="6" width="10.5703125" style="1" bestFit="1" customWidth="1"/>
    <col min="7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162</v>
      </c>
      <c r="B2" s="36"/>
      <c r="C2" s="36"/>
      <c r="D2" s="36"/>
      <c r="E2" s="36"/>
      <c r="F2" s="36">
        <v>500.25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8">
        <f>SUM(B2:S2)</f>
        <v>500.25</v>
      </c>
    </row>
    <row r="3" spans="1:20" x14ac:dyDescent="0.25">
      <c r="A3" s="35" t="s">
        <v>163</v>
      </c>
      <c r="B3" s="36"/>
      <c r="C3" s="36"/>
      <c r="D3" s="36"/>
      <c r="E3" s="36"/>
      <c r="F3" s="36">
        <v>500.25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500.25</v>
      </c>
    </row>
    <row r="4" spans="1:20" x14ac:dyDescent="0.25">
      <c r="A4" s="35" t="s">
        <v>164</v>
      </c>
      <c r="B4" s="36"/>
      <c r="C4" s="36"/>
      <c r="D4" s="36"/>
      <c r="E4" s="36"/>
      <c r="F4" s="36"/>
      <c r="G4" s="36">
        <v>500.25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8">
        <f t="shared" si="0"/>
        <v>500.25</v>
      </c>
    </row>
    <row r="5" spans="1:20" x14ac:dyDescent="0.25">
      <c r="A5" s="35" t="s">
        <v>165</v>
      </c>
      <c r="B5" s="36"/>
      <c r="C5" s="36"/>
      <c r="D5" s="36"/>
      <c r="E5" s="36"/>
      <c r="F5" s="36">
        <v>500.25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500.25</v>
      </c>
    </row>
    <row r="6" spans="1:20" x14ac:dyDescent="0.25">
      <c r="A6" s="35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8">
        <f t="shared" si="0"/>
        <v>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0</v>
      </c>
      <c r="C9" s="2">
        <f t="shared" ref="C9:T9" si="1">SUM(C2:C8)</f>
        <v>0</v>
      </c>
      <c r="D9" s="2">
        <f t="shared" si="1"/>
        <v>0</v>
      </c>
      <c r="E9" s="2">
        <f t="shared" si="1"/>
        <v>0</v>
      </c>
      <c r="F9" s="2">
        <f t="shared" si="1"/>
        <v>1500.75</v>
      </c>
      <c r="G9" s="2">
        <f t="shared" si="1"/>
        <v>500.25</v>
      </c>
      <c r="H9" s="2">
        <f t="shared" si="1"/>
        <v>0</v>
      </c>
      <c r="I9" s="2">
        <f t="shared" si="1"/>
        <v>0</v>
      </c>
      <c r="J9" s="2">
        <f t="shared" si="1"/>
        <v>0</v>
      </c>
      <c r="K9" s="2">
        <f t="shared" si="1"/>
        <v>0</v>
      </c>
      <c r="L9" s="2">
        <f t="shared" si="1"/>
        <v>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f t="shared" si="1"/>
        <v>0</v>
      </c>
      <c r="Q9" s="2">
        <f t="shared" si="1"/>
        <v>0</v>
      </c>
      <c r="R9" s="2">
        <f t="shared" si="1"/>
        <v>0</v>
      </c>
      <c r="S9" s="2">
        <f t="shared" si="1"/>
        <v>0</v>
      </c>
      <c r="T9" s="22">
        <f t="shared" si="1"/>
        <v>2001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162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 t="s">
        <v>163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164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165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6">
        <v>1</v>
      </c>
      <c r="B21" s="7">
        <f>(36*30)+10-13.25-13.25-13.25</f>
        <v>1050.25</v>
      </c>
      <c r="C21" s="7">
        <f>+T2+T11</f>
        <v>500.25</v>
      </c>
      <c r="D21" s="7">
        <f t="shared" ref="D21:D26" si="4">+B21-C21</f>
        <v>550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6">
        <v>2</v>
      </c>
      <c r="B22" s="7">
        <f>(36*30)+10-13.25-13.25-13.25</f>
        <v>1050.25</v>
      </c>
      <c r="C22" s="7">
        <f>+T3+T12</f>
        <v>500.25</v>
      </c>
      <c r="D22" s="7">
        <f t="shared" si="4"/>
        <v>550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6">
        <v>3</v>
      </c>
      <c r="B23" s="7">
        <f>(36*30)+10-13.25-13.25-13.25</f>
        <v>1050.25</v>
      </c>
      <c r="C23" s="7">
        <f>+T4+T13</f>
        <v>500.25</v>
      </c>
      <c r="D23" s="7">
        <f t="shared" si="4"/>
        <v>550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6">
        <v>4</v>
      </c>
      <c r="B24" s="7">
        <f>(36*30)+10-13.25-13.25-13.25</f>
        <v>1050.25</v>
      </c>
      <c r="C24" s="7">
        <f>+T5+T14</f>
        <v>500.25</v>
      </c>
      <c r="D24" s="7">
        <f t="shared" si="4"/>
        <v>550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6">
        <v>5</v>
      </c>
      <c r="B25" s="7">
        <f>(36*30)+10</f>
        <v>1090</v>
      </c>
      <c r="C25" s="7">
        <f>+T6+T15</f>
        <v>0</v>
      </c>
      <c r="D25" s="7">
        <f t="shared" si="4"/>
        <v>1090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8350-4C86-4CE3-B340-57E2D9083832}">
  <sheetPr codeName="Sheet17"/>
  <dimension ref="A1:U27"/>
  <sheetViews>
    <sheetView workbookViewId="0">
      <selection activeCell="L20" sqref="L20"/>
    </sheetView>
  </sheetViews>
  <sheetFormatPr defaultRowHeight="15" x14ac:dyDescent="0.25"/>
  <cols>
    <col min="1" max="1" width="19.71093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102</v>
      </c>
      <c r="B2" s="36">
        <v>30</v>
      </c>
      <c r="C2" s="36">
        <v>30</v>
      </c>
      <c r="D2" s="36">
        <v>60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8">
        <f>SUM(B2:S2)</f>
        <v>120</v>
      </c>
    </row>
    <row r="3" spans="1:20" x14ac:dyDescent="0.25">
      <c r="A3" s="35" t="s">
        <v>103</v>
      </c>
      <c r="B3" s="36"/>
      <c r="C3" s="36">
        <v>30</v>
      </c>
      <c r="D3" s="36">
        <v>90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120</v>
      </c>
    </row>
    <row r="4" spans="1:20" x14ac:dyDescent="0.25">
      <c r="A4" s="35" t="s">
        <v>104</v>
      </c>
      <c r="B4" s="36">
        <v>120</v>
      </c>
      <c r="C4" s="36"/>
      <c r="D4" s="36"/>
      <c r="E4" s="36"/>
      <c r="F4" s="36">
        <v>150</v>
      </c>
      <c r="G4" s="36"/>
      <c r="H4" s="36"/>
      <c r="I4" s="36"/>
      <c r="J4" s="36"/>
      <c r="K4" s="36"/>
      <c r="L4" s="36">
        <v>100</v>
      </c>
      <c r="M4" s="36"/>
      <c r="N4" s="36"/>
      <c r="O4" s="36"/>
      <c r="P4" s="36"/>
      <c r="Q4" s="36"/>
      <c r="R4" s="36"/>
      <c r="S4" s="36"/>
      <c r="T4" s="8">
        <f t="shared" si="0"/>
        <v>370</v>
      </c>
    </row>
    <row r="5" spans="1:20" x14ac:dyDescent="0.25">
      <c r="A5" s="35" t="s">
        <v>105</v>
      </c>
      <c r="B5" s="36"/>
      <c r="C5" s="36"/>
      <c r="D5" s="36"/>
      <c r="E5" s="36"/>
      <c r="F5" s="36">
        <v>0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0</v>
      </c>
    </row>
    <row r="6" spans="1:20" x14ac:dyDescent="0.25">
      <c r="A6" s="35" t="s">
        <v>106</v>
      </c>
      <c r="B6" s="36">
        <v>120</v>
      </c>
      <c r="C6" s="36"/>
      <c r="D6" s="36"/>
      <c r="E6" s="36"/>
      <c r="F6" s="36">
        <v>150</v>
      </c>
      <c r="G6" s="36"/>
      <c r="H6" s="36"/>
      <c r="I6" s="36"/>
      <c r="J6" s="36"/>
      <c r="K6" s="36"/>
      <c r="L6" s="36">
        <v>100</v>
      </c>
      <c r="M6" s="36"/>
      <c r="N6" s="36"/>
      <c r="O6" s="36"/>
      <c r="P6" s="36"/>
      <c r="Q6" s="36"/>
      <c r="R6" s="36"/>
      <c r="S6" s="36"/>
      <c r="T6" s="8">
        <f t="shared" si="0"/>
        <v>370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>
        <v>5</v>
      </c>
      <c r="O8" s="36"/>
      <c r="P8" s="36"/>
      <c r="Q8" s="36"/>
      <c r="R8" s="36"/>
      <c r="S8" s="36"/>
      <c r="T8" s="8">
        <f t="shared" si="0"/>
        <v>5</v>
      </c>
    </row>
    <row r="9" spans="1:20" x14ac:dyDescent="0.25">
      <c r="A9" s="9"/>
      <c r="B9" s="2">
        <f>SUM(B2:B8)</f>
        <v>270</v>
      </c>
      <c r="C9" s="2">
        <f t="shared" ref="C9:T9" si="1">SUM(C2:C8)</f>
        <v>60</v>
      </c>
      <c r="D9" s="2">
        <f t="shared" si="1"/>
        <v>150</v>
      </c>
      <c r="E9" s="2">
        <f t="shared" si="1"/>
        <v>0</v>
      </c>
      <c r="F9" s="2">
        <f t="shared" si="1"/>
        <v>300</v>
      </c>
      <c r="G9" s="2">
        <f t="shared" si="1"/>
        <v>0</v>
      </c>
      <c r="H9" s="2">
        <f t="shared" si="1"/>
        <v>0</v>
      </c>
      <c r="I9" s="2">
        <f t="shared" si="1"/>
        <v>0</v>
      </c>
      <c r="J9" s="2">
        <f t="shared" si="1"/>
        <v>0</v>
      </c>
      <c r="K9" s="2">
        <f t="shared" si="1"/>
        <v>0</v>
      </c>
      <c r="L9" s="2">
        <f t="shared" si="1"/>
        <v>200</v>
      </c>
      <c r="M9" s="2">
        <f t="shared" si="1"/>
        <v>0</v>
      </c>
      <c r="N9" s="2">
        <f t="shared" si="1"/>
        <v>5</v>
      </c>
      <c r="O9" s="2">
        <f t="shared" si="1"/>
        <v>0</v>
      </c>
      <c r="P9" s="2">
        <f t="shared" si="1"/>
        <v>0</v>
      </c>
      <c r="Q9" s="2">
        <f t="shared" si="1"/>
        <v>0</v>
      </c>
      <c r="R9" s="2">
        <f t="shared" si="1"/>
        <v>0</v>
      </c>
      <c r="S9" s="2">
        <f t="shared" si="1"/>
        <v>0</v>
      </c>
      <c r="T9" s="22">
        <f t="shared" si="1"/>
        <v>985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102</v>
      </c>
      <c r="B21" s="7">
        <f>(36*30)+10</f>
        <v>1090</v>
      </c>
      <c r="C21" s="7">
        <f>+T2+T11</f>
        <v>120</v>
      </c>
      <c r="D21" s="7">
        <f t="shared" ref="D21:D26" si="4">+B21-C21</f>
        <v>970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103</v>
      </c>
      <c r="B22" s="7">
        <f>(36*30)+10-13.25</f>
        <v>1076.75</v>
      </c>
      <c r="C22" s="7">
        <f>+T3+T12</f>
        <v>120</v>
      </c>
      <c r="D22" s="7">
        <f t="shared" si="4"/>
        <v>956.75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104</v>
      </c>
      <c r="B23" s="7">
        <f>(36*30)+10</f>
        <v>1090</v>
      </c>
      <c r="C23" s="7">
        <f>+T4+T13</f>
        <v>370</v>
      </c>
      <c r="D23" s="7">
        <f t="shared" si="4"/>
        <v>720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105</v>
      </c>
      <c r="B24" s="7">
        <f>(36*30)+10</f>
        <v>1090</v>
      </c>
      <c r="C24" s="7">
        <f>+T5+T14</f>
        <v>0</v>
      </c>
      <c r="D24" s="7">
        <f t="shared" si="4"/>
        <v>1090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106</v>
      </c>
      <c r="B25" s="7">
        <f>(36*30)+10</f>
        <v>1090</v>
      </c>
      <c r="C25" s="7">
        <f>+T6+T15</f>
        <v>370</v>
      </c>
      <c r="D25" s="7">
        <f t="shared" si="4"/>
        <v>720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792D-D691-4928-A69A-85122268E13B}">
  <sheetPr codeName="Sheet18"/>
  <dimension ref="A1:U27"/>
  <sheetViews>
    <sheetView workbookViewId="0">
      <selection activeCell="S8" sqref="S8"/>
    </sheetView>
  </sheetViews>
  <sheetFormatPr defaultRowHeight="15" x14ac:dyDescent="0.25"/>
  <cols>
    <col min="1" max="1" width="18.71093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107</v>
      </c>
      <c r="B2" s="36">
        <v>30</v>
      </c>
      <c r="C2" s="36">
        <v>30</v>
      </c>
      <c r="D2" s="36">
        <v>30</v>
      </c>
      <c r="E2" s="36">
        <v>30</v>
      </c>
      <c r="F2" s="36"/>
      <c r="G2" s="36">
        <v>180</v>
      </c>
      <c r="H2" s="36"/>
      <c r="I2" s="36"/>
      <c r="J2" s="36"/>
      <c r="K2" s="36"/>
      <c r="L2" s="36">
        <v>30</v>
      </c>
      <c r="M2" s="36"/>
      <c r="N2" s="36">
        <v>60</v>
      </c>
      <c r="O2" s="36"/>
      <c r="P2" s="36">
        <v>60</v>
      </c>
      <c r="Q2" s="36"/>
      <c r="R2" s="36">
        <v>60</v>
      </c>
      <c r="S2" s="36">
        <v>30</v>
      </c>
      <c r="T2" s="8">
        <f>SUM(B2:S2)</f>
        <v>540</v>
      </c>
    </row>
    <row r="3" spans="1:20" x14ac:dyDescent="0.25">
      <c r="A3" s="35" t="s">
        <v>108</v>
      </c>
      <c r="B3" s="36"/>
      <c r="C3" s="36">
        <v>60</v>
      </c>
      <c r="D3" s="36">
        <v>30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90</v>
      </c>
    </row>
    <row r="4" spans="1:20" x14ac:dyDescent="0.25">
      <c r="A4" s="35" t="s">
        <v>109</v>
      </c>
      <c r="B4" s="36">
        <v>30</v>
      </c>
      <c r="C4" s="36">
        <v>30</v>
      </c>
      <c r="D4" s="36">
        <v>30</v>
      </c>
      <c r="E4" s="36">
        <v>30</v>
      </c>
      <c r="F4" s="36">
        <v>30</v>
      </c>
      <c r="G4" s="36">
        <v>30</v>
      </c>
      <c r="H4" s="36">
        <v>80</v>
      </c>
      <c r="I4" s="36"/>
      <c r="J4" s="36"/>
      <c r="K4" s="36">
        <v>60</v>
      </c>
      <c r="L4" s="36"/>
      <c r="M4" s="36"/>
      <c r="N4" s="36">
        <v>60</v>
      </c>
      <c r="O4" s="36"/>
      <c r="P4" s="36">
        <v>30</v>
      </c>
      <c r="Q4" s="36">
        <v>60</v>
      </c>
      <c r="R4" s="36">
        <v>60</v>
      </c>
      <c r="S4" s="36"/>
      <c r="T4" s="8">
        <f t="shared" si="0"/>
        <v>530</v>
      </c>
    </row>
    <row r="5" spans="1:20" x14ac:dyDescent="0.25">
      <c r="A5" s="35" t="s">
        <v>110</v>
      </c>
      <c r="B5" s="36"/>
      <c r="C5" s="36"/>
      <c r="D5" s="36">
        <v>90</v>
      </c>
      <c r="E5" s="36"/>
      <c r="F5" s="36"/>
      <c r="G5" s="36">
        <v>120</v>
      </c>
      <c r="H5" s="36"/>
      <c r="I5" s="36">
        <v>90</v>
      </c>
      <c r="J5" s="36"/>
      <c r="K5" s="36">
        <v>90</v>
      </c>
      <c r="L5" s="36"/>
      <c r="M5" s="36"/>
      <c r="N5" s="36">
        <v>90</v>
      </c>
      <c r="O5" s="36"/>
      <c r="P5" s="36"/>
      <c r="Q5" s="36"/>
      <c r="R5" s="36">
        <v>60</v>
      </c>
      <c r="S5" s="36"/>
      <c r="T5" s="8">
        <f t="shared" si="0"/>
        <v>540</v>
      </c>
    </row>
    <row r="6" spans="1:20" x14ac:dyDescent="0.25">
      <c r="A6" s="35" t="s">
        <v>111</v>
      </c>
      <c r="B6" s="36">
        <v>30</v>
      </c>
      <c r="C6" s="36">
        <v>30</v>
      </c>
      <c r="D6" s="36">
        <v>30</v>
      </c>
      <c r="E6" s="36">
        <v>30</v>
      </c>
      <c r="F6" s="36">
        <v>30</v>
      </c>
      <c r="G6" s="36">
        <v>30</v>
      </c>
      <c r="H6" s="36">
        <v>30</v>
      </c>
      <c r="I6" s="36">
        <v>0</v>
      </c>
      <c r="J6" s="36"/>
      <c r="K6" s="36">
        <v>120</v>
      </c>
      <c r="L6" s="36">
        <v>30</v>
      </c>
      <c r="M6" s="36"/>
      <c r="N6" s="36">
        <v>60</v>
      </c>
      <c r="O6" s="36">
        <v>30</v>
      </c>
      <c r="P6" s="36"/>
      <c r="Q6" s="36">
        <v>60</v>
      </c>
      <c r="R6" s="36">
        <v>30</v>
      </c>
      <c r="S6" s="36"/>
      <c r="T6" s="8">
        <f t="shared" si="0"/>
        <v>540</v>
      </c>
    </row>
    <row r="7" spans="1:20" x14ac:dyDescent="0.25">
      <c r="A7" s="35" t="s">
        <v>149</v>
      </c>
      <c r="B7" s="36"/>
      <c r="C7" s="36">
        <v>70</v>
      </c>
      <c r="D7" s="36"/>
      <c r="E7" s="36">
        <v>120</v>
      </c>
      <c r="F7" s="36"/>
      <c r="G7" s="36"/>
      <c r="H7" s="36"/>
      <c r="I7" s="36"/>
      <c r="J7" s="36"/>
      <c r="K7" s="36"/>
      <c r="L7" s="36">
        <v>100</v>
      </c>
      <c r="M7" s="36"/>
      <c r="N7" s="36"/>
      <c r="O7" s="36"/>
      <c r="P7" s="36">
        <v>30</v>
      </c>
      <c r="Q7" s="36">
        <v>150</v>
      </c>
      <c r="R7" s="36">
        <v>100</v>
      </c>
      <c r="S7" s="36">
        <v>30</v>
      </c>
      <c r="T7" s="8">
        <f t="shared" si="0"/>
        <v>600</v>
      </c>
    </row>
    <row r="8" spans="1:20" x14ac:dyDescent="0.25">
      <c r="A8" s="35" t="s">
        <v>44</v>
      </c>
      <c r="B8" s="36"/>
      <c r="C8" s="36"/>
      <c r="D8" s="36"/>
      <c r="E8" s="36"/>
      <c r="F8" s="36">
        <v>5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5</v>
      </c>
    </row>
    <row r="9" spans="1:20" x14ac:dyDescent="0.25">
      <c r="A9" s="9"/>
      <c r="B9" s="2">
        <f>SUM(B2:B8)</f>
        <v>90</v>
      </c>
      <c r="C9" s="2">
        <f t="shared" ref="C9:T9" si="1">SUM(C2:C8)</f>
        <v>220</v>
      </c>
      <c r="D9" s="2">
        <f t="shared" si="1"/>
        <v>210</v>
      </c>
      <c r="E9" s="2">
        <f t="shared" si="1"/>
        <v>210</v>
      </c>
      <c r="F9" s="2">
        <f t="shared" si="1"/>
        <v>65</v>
      </c>
      <c r="G9" s="2">
        <f t="shared" si="1"/>
        <v>360</v>
      </c>
      <c r="H9" s="2">
        <f t="shared" si="1"/>
        <v>110</v>
      </c>
      <c r="I9" s="2">
        <f t="shared" si="1"/>
        <v>90</v>
      </c>
      <c r="J9" s="2">
        <f t="shared" si="1"/>
        <v>0</v>
      </c>
      <c r="K9" s="2">
        <f t="shared" si="1"/>
        <v>270</v>
      </c>
      <c r="L9" s="2">
        <f t="shared" si="1"/>
        <v>160</v>
      </c>
      <c r="M9" s="2">
        <f t="shared" si="1"/>
        <v>0</v>
      </c>
      <c r="N9" s="2">
        <f t="shared" si="1"/>
        <v>270</v>
      </c>
      <c r="O9" s="2">
        <f t="shared" si="1"/>
        <v>30</v>
      </c>
      <c r="P9" s="2">
        <f t="shared" si="1"/>
        <v>120</v>
      </c>
      <c r="Q9" s="2">
        <f t="shared" si="1"/>
        <v>270</v>
      </c>
      <c r="R9" s="2">
        <f t="shared" si="1"/>
        <v>310</v>
      </c>
      <c r="S9" s="2">
        <f t="shared" si="1"/>
        <v>60</v>
      </c>
      <c r="T9" s="22">
        <f t="shared" si="1"/>
        <v>2845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107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 t="s">
        <v>108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109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110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 t="s">
        <v>111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 t="s">
        <v>149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107</v>
      </c>
      <c r="B21" s="7">
        <f t="shared" ref="B21:B26" si="4">(36*30)+10</f>
        <v>1090</v>
      </c>
      <c r="C21" s="7">
        <f>+T2+T11</f>
        <v>540</v>
      </c>
      <c r="D21" s="7">
        <f t="shared" ref="D21:D26" si="5">+B21-C21</f>
        <v>550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108</v>
      </c>
      <c r="B22" s="7">
        <f t="shared" si="4"/>
        <v>1090</v>
      </c>
      <c r="C22" s="7">
        <f>+T3+T12</f>
        <v>90</v>
      </c>
      <c r="D22" s="7">
        <f t="shared" si="5"/>
        <v>1000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109</v>
      </c>
      <c r="B23" s="7">
        <f t="shared" si="4"/>
        <v>1090</v>
      </c>
      <c r="C23" s="7">
        <f>+T4+T13</f>
        <v>530</v>
      </c>
      <c r="D23" s="7">
        <f t="shared" si="5"/>
        <v>560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110</v>
      </c>
      <c r="B24" s="7">
        <f t="shared" si="4"/>
        <v>1090</v>
      </c>
      <c r="C24" s="7">
        <f>+T5+T14</f>
        <v>540</v>
      </c>
      <c r="D24" s="7">
        <f t="shared" si="5"/>
        <v>550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111</v>
      </c>
      <c r="B25" s="7">
        <f t="shared" si="4"/>
        <v>1090</v>
      </c>
      <c r="C25" s="7">
        <f>+T6+T15</f>
        <v>540</v>
      </c>
      <c r="D25" s="7">
        <f t="shared" si="5"/>
        <v>550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35" t="s">
        <v>149</v>
      </c>
      <c r="B26" s="14">
        <f t="shared" si="4"/>
        <v>1090</v>
      </c>
      <c r="C26" s="14">
        <f>+T7+T18</f>
        <v>600</v>
      </c>
      <c r="D26" s="14">
        <f t="shared" si="5"/>
        <v>490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8B5F-65C4-4788-826F-7F528C589C4C}">
  <sheetPr codeName="Sheet19"/>
  <dimension ref="A1:U27"/>
  <sheetViews>
    <sheetView workbookViewId="0">
      <selection activeCell="L3" sqref="L3"/>
    </sheetView>
  </sheetViews>
  <sheetFormatPr defaultRowHeight="15" x14ac:dyDescent="0.25"/>
  <cols>
    <col min="1" max="1" width="18.71093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111</v>
      </c>
      <c r="B2" s="36">
        <v>30</v>
      </c>
      <c r="C2" s="36">
        <v>30</v>
      </c>
      <c r="D2" s="36">
        <v>30</v>
      </c>
      <c r="E2" s="36">
        <v>30</v>
      </c>
      <c r="F2" s="36">
        <v>30</v>
      </c>
      <c r="G2" s="36">
        <v>30</v>
      </c>
      <c r="H2" s="36">
        <v>0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8">
        <f>SUM(B2:S2)</f>
        <v>180</v>
      </c>
    </row>
    <row r="3" spans="1:20" x14ac:dyDescent="0.25">
      <c r="A3" s="35" t="s">
        <v>112</v>
      </c>
      <c r="B3" s="36">
        <v>30</v>
      </c>
      <c r="C3" s="36">
        <v>30</v>
      </c>
      <c r="D3" s="36">
        <v>30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90</v>
      </c>
    </row>
    <row r="4" spans="1:20" x14ac:dyDescent="0.25">
      <c r="A4" s="35" t="s">
        <v>113</v>
      </c>
      <c r="B4" s="36">
        <v>30</v>
      </c>
      <c r="C4" s="36">
        <v>0</v>
      </c>
      <c r="D4" s="36"/>
      <c r="E4" s="36"/>
      <c r="F4" s="36">
        <v>120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8">
        <f t="shared" si="0"/>
        <v>150</v>
      </c>
    </row>
    <row r="5" spans="1:20" x14ac:dyDescent="0.25">
      <c r="A5" s="35" t="s">
        <v>114</v>
      </c>
      <c r="B5" s="36">
        <v>30</v>
      </c>
      <c r="C5" s="36">
        <v>30</v>
      </c>
      <c r="D5" s="36">
        <v>30</v>
      </c>
      <c r="E5" s="36"/>
      <c r="F5" s="36">
        <v>60</v>
      </c>
      <c r="G5" s="36">
        <v>30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180</v>
      </c>
    </row>
    <row r="6" spans="1:20" x14ac:dyDescent="0.25">
      <c r="A6" s="35" t="s">
        <v>149</v>
      </c>
      <c r="B6" s="36"/>
      <c r="C6" s="36">
        <v>70</v>
      </c>
      <c r="D6" s="36"/>
      <c r="E6" s="36">
        <v>120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8">
        <f t="shared" si="0"/>
        <v>190</v>
      </c>
    </row>
    <row r="7" spans="1:20" x14ac:dyDescent="0.25">
      <c r="A7" s="35">
        <v>6</v>
      </c>
      <c r="B7" s="36">
        <f>-'2'!C530</f>
        <v>0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>
        <v>5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5</v>
      </c>
    </row>
    <row r="9" spans="1:20" x14ac:dyDescent="0.25">
      <c r="A9" s="9"/>
      <c r="B9" s="2">
        <f>SUM(B2:B8)</f>
        <v>120</v>
      </c>
      <c r="C9" s="2">
        <f t="shared" ref="C9:T9" si="1">SUM(C2:C8)</f>
        <v>160</v>
      </c>
      <c r="D9" s="2">
        <f t="shared" si="1"/>
        <v>90</v>
      </c>
      <c r="E9" s="2">
        <f t="shared" si="1"/>
        <v>150</v>
      </c>
      <c r="F9" s="2">
        <f t="shared" si="1"/>
        <v>210</v>
      </c>
      <c r="G9" s="2">
        <f t="shared" si="1"/>
        <v>65</v>
      </c>
      <c r="H9" s="2">
        <f t="shared" si="1"/>
        <v>0</v>
      </c>
      <c r="I9" s="2">
        <f t="shared" si="1"/>
        <v>0</v>
      </c>
      <c r="J9" s="2">
        <f t="shared" si="1"/>
        <v>0</v>
      </c>
      <c r="K9" s="2">
        <f t="shared" si="1"/>
        <v>0</v>
      </c>
      <c r="L9" s="2">
        <f t="shared" si="1"/>
        <v>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f t="shared" si="1"/>
        <v>0</v>
      </c>
      <c r="Q9" s="2">
        <f t="shared" si="1"/>
        <v>0</v>
      </c>
      <c r="R9" s="2">
        <f t="shared" si="1"/>
        <v>0</v>
      </c>
      <c r="S9" s="2">
        <f t="shared" si="1"/>
        <v>0</v>
      </c>
      <c r="T9" s="22">
        <f t="shared" si="1"/>
        <v>795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111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 t="s">
        <v>112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113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114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 t="s">
        <v>149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111</v>
      </c>
      <c r="B21" s="7">
        <f>(36*30)+10</f>
        <v>1090</v>
      </c>
      <c r="C21" s="7">
        <f>+T2+T11</f>
        <v>180</v>
      </c>
      <c r="D21" s="7">
        <f t="shared" ref="D21:D26" si="4">+B21-C21</f>
        <v>910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112</v>
      </c>
      <c r="B22" s="7">
        <f>(36*30)+10</f>
        <v>1090</v>
      </c>
      <c r="C22" s="7">
        <f>+T3+T12</f>
        <v>90</v>
      </c>
      <c r="D22" s="7">
        <f t="shared" si="4"/>
        <v>1000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113</v>
      </c>
      <c r="B23" s="7">
        <f>(36*30)+10</f>
        <v>1090</v>
      </c>
      <c r="C23" s="7">
        <f>+T4+T13</f>
        <v>150</v>
      </c>
      <c r="D23" s="7">
        <f t="shared" si="4"/>
        <v>940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114</v>
      </c>
      <c r="B24" s="7">
        <f>(36*30)+10</f>
        <v>1090</v>
      </c>
      <c r="C24" s="7">
        <f>+T5+T14</f>
        <v>180</v>
      </c>
      <c r="D24" s="7">
        <f t="shared" si="4"/>
        <v>910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149</v>
      </c>
      <c r="B25" s="7">
        <f>(36*30)+10-13.25</f>
        <v>1076.75</v>
      </c>
      <c r="C25" s="7">
        <f>+T6+T15</f>
        <v>190</v>
      </c>
      <c r="D25" s="7">
        <f t="shared" si="4"/>
        <v>886.75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08F-A43D-4998-A654-83B5053EBF39}">
  <sheetPr codeName="Sheet20"/>
  <dimension ref="A1:U27"/>
  <sheetViews>
    <sheetView workbookViewId="0">
      <selection activeCell="S5" sqref="S5"/>
    </sheetView>
  </sheetViews>
  <sheetFormatPr defaultRowHeight="15" x14ac:dyDescent="0.25"/>
  <cols>
    <col min="1" max="1" width="14.285156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115</v>
      </c>
      <c r="B2" s="36">
        <v>30</v>
      </c>
      <c r="C2" s="36">
        <v>30</v>
      </c>
      <c r="D2" s="36">
        <v>30</v>
      </c>
      <c r="E2" s="36"/>
      <c r="F2" s="36">
        <v>30</v>
      </c>
      <c r="G2" s="36">
        <v>0</v>
      </c>
      <c r="H2" s="36">
        <v>30</v>
      </c>
      <c r="I2" s="36">
        <v>60</v>
      </c>
      <c r="J2" s="36">
        <v>30</v>
      </c>
      <c r="K2" s="36">
        <v>30</v>
      </c>
      <c r="L2" s="36"/>
      <c r="M2" s="36"/>
      <c r="N2" s="36"/>
      <c r="O2" s="36"/>
      <c r="P2" s="36">
        <v>30</v>
      </c>
      <c r="Q2" s="36">
        <v>30</v>
      </c>
      <c r="R2" s="36"/>
      <c r="S2" s="36"/>
      <c r="T2" s="8">
        <f>SUM(B2:S2)</f>
        <v>330</v>
      </c>
    </row>
    <row r="3" spans="1:20" x14ac:dyDescent="0.25">
      <c r="A3" s="35" t="s">
        <v>116</v>
      </c>
      <c r="B3" s="36">
        <v>30</v>
      </c>
      <c r="C3" s="36">
        <v>30</v>
      </c>
      <c r="D3" s="36">
        <v>30</v>
      </c>
      <c r="E3" s="36"/>
      <c r="F3" s="36">
        <v>30</v>
      </c>
      <c r="G3" s="36">
        <v>0</v>
      </c>
      <c r="H3" s="36">
        <v>30</v>
      </c>
      <c r="I3" s="36">
        <v>60</v>
      </c>
      <c r="J3" s="36">
        <v>30</v>
      </c>
      <c r="K3" s="36">
        <v>30</v>
      </c>
      <c r="L3" s="36"/>
      <c r="M3" s="36"/>
      <c r="N3" s="36"/>
      <c r="O3" s="36"/>
      <c r="P3" s="36">
        <v>30</v>
      </c>
      <c r="Q3" s="36">
        <v>30</v>
      </c>
      <c r="R3" s="36"/>
      <c r="S3" s="36"/>
      <c r="T3" s="8">
        <f t="shared" ref="T3:T8" si="0">SUM(B3:S3)</f>
        <v>330</v>
      </c>
    </row>
    <row r="4" spans="1:20" x14ac:dyDescent="0.25">
      <c r="A4" s="35" t="s">
        <v>166</v>
      </c>
      <c r="B4" s="36">
        <v>30</v>
      </c>
      <c r="C4" s="36"/>
      <c r="D4" s="36"/>
      <c r="E4" s="36"/>
      <c r="F4" s="36">
        <v>150</v>
      </c>
      <c r="G4" s="36">
        <v>0</v>
      </c>
      <c r="H4" s="36">
        <v>30</v>
      </c>
      <c r="I4" s="36">
        <v>30</v>
      </c>
      <c r="J4" s="36">
        <v>30</v>
      </c>
      <c r="K4" s="36">
        <v>30</v>
      </c>
      <c r="L4" s="36"/>
      <c r="M4" s="36"/>
      <c r="N4" s="36">
        <v>30</v>
      </c>
      <c r="O4" s="36">
        <v>30</v>
      </c>
      <c r="P4" s="36">
        <v>30</v>
      </c>
      <c r="Q4" s="36">
        <v>60</v>
      </c>
      <c r="R4" s="36"/>
      <c r="S4" s="36">
        <v>60</v>
      </c>
      <c r="T4" s="8">
        <f t="shared" si="0"/>
        <v>510</v>
      </c>
    </row>
    <row r="5" spans="1:20" x14ac:dyDescent="0.25">
      <c r="A5" s="35" t="s">
        <v>118</v>
      </c>
      <c r="B5" s="36">
        <v>270</v>
      </c>
      <c r="C5" s="36"/>
      <c r="D5" s="36"/>
      <c r="E5" s="36"/>
      <c r="F5" s="36"/>
      <c r="G5" s="36"/>
      <c r="H5" s="36"/>
      <c r="I5" s="36"/>
      <c r="J5" s="36"/>
      <c r="K5" s="36">
        <v>300</v>
      </c>
      <c r="L5" s="36"/>
      <c r="M5" s="36"/>
      <c r="N5" s="36"/>
      <c r="O5" s="36"/>
      <c r="P5" s="36"/>
      <c r="Q5" s="36"/>
      <c r="R5" s="36"/>
      <c r="S5" s="36"/>
      <c r="T5" s="8">
        <f t="shared" si="0"/>
        <v>570</v>
      </c>
    </row>
    <row r="6" spans="1:20" x14ac:dyDescent="0.25">
      <c r="A6" s="35" t="s">
        <v>119</v>
      </c>
      <c r="B6" s="36"/>
      <c r="C6" s="36">
        <v>60</v>
      </c>
      <c r="D6" s="36">
        <v>60</v>
      </c>
      <c r="E6" s="36"/>
      <c r="F6" s="36">
        <v>90</v>
      </c>
      <c r="G6" s="36"/>
      <c r="H6" s="36"/>
      <c r="I6" s="36">
        <v>90</v>
      </c>
      <c r="J6" s="36">
        <v>60</v>
      </c>
      <c r="K6" s="36"/>
      <c r="L6" s="36"/>
      <c r="M6" s="36"/>
      <c r="N6" s="36"/>
      <c r="O6" s="36">
        <v>150</v>
      </c>
      <c r="P6" s="36"/>
      <c r="Q6" s="36"/>
      <c r="R6" s="36">
        <v>60</v>
      </c>
      <c r="S6" s="36"/>
      <c r="T6" s="8">
        <f t="shared" si="0"/>
        <v>570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360</v>
      </c>
      <c r="C9" s="2">
        <f t="shared" ref="C9:T9" si="1">SUM(C2:C8)</f>
        <v>120</v>
      </c>
      <c r="D9" s="2">
        <f t="shared" si="1"/>
        <v>120</v>
      </c>
      <c r="E9" s="2">
        <f t="shared" si="1"/>
        <v>0</v>
      </c>
      <c r="F9" s="2">
        <f t="shared" si="1"/>
        <v>300</v>
      </c>
      <c r="G9" s="2">
        <f t="shared" si="1"/>
        <v>0</v>
      </c>
      <c r="H9" s="2">
        <f t="shared" si="1"/>
        <v>90</v>
      </c>
      <c r="I9" s="2">
        <f t="shared" si="1"/>
        <v>240</v>
      </c>
      <c r="J9" s="2">
        <f t="shared" si="1"/>
        <v>150</v>
      </c>
      <c r="K9" s="2">
        <f t="shared" si="1"/>
        <v>390</v>
      </c>
      <c r="L9" s="2">
        <f t="shared" si="1"/>
        <v>0</v>
      </c>
      <c r="M9" s="2">
        <f t="shared" si="1"/>
        <v>0</v>
      </c>
      <c r="N9" s="2">
        <f t="shared" si="1"/>
        <v>30</v>
      </c>
      <c r="O9" s="2">
        <f t="shared" si="1"/>
        <v>180</v>
      </c>
      <c r="P9" s="2">
        <f t="shared" si="1"/>
        <v>90</v>
      </c>
      <c r="Q9" s="2">
        <f t="shared" si="1"/>
        <v>120</v>
      </c>
      <c r="R9" s="2">
        <f t="shared" si="1"/>
        <v>60</v>
      </c>
      <c r="S9" s="2">
        <f t="shared" si="1"/>
        <v>60</v>
      </c>
      <c r="T9" s="22">
        <f t="shared" si="1"/>
        <v>2310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115</v>
      </c>
      <c r="B21" s="7">
        <f t="shared" ref="B21:B26" si="4">(36*30)+10</f>
        <v>1090</v>
      </c>
      <c r="C21" s="7">
        <f>+T2+T11</f>
        <v>330</v>
      </c>
      <c r="D21" s="7">
        <f t="shared" ref="D21:D26" si="5">+B21-C21</f>
        <v>760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116</v>
      </c>
      <c r="B22" s="7">
        <f t="shared" si="4"/>
        <v>1090</v>
      </c>
      <c r="C22" s="7">
        <f>+T3+T12</f>
        <v>330</v>
      </c>
      <c r="D22" s="7">
        <f t="shared" si="5"/>
        <v>760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117</v>
      </c>
      <c r="B23" s="7">
        <f t="shared" si="4"/>
        <v>1090</v>
      </c>
      <c r="C23" s="7">
        <f>+T4+T13</f>
        <v>510</v>
      </c>
      <c r="D23" s="7">
        <f t="shared" si="5"/>
        <v>580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118</v>
      </c>
      <c r="B24" s="7">
        <f t="shared" si="4"/>
        <v>1090</v>
      </c>
      <c r="C24" s="7">
        <f>+T5+T14</f>
        <v>570</v>
      </c>
      <c r="D24" s="7">
        <f t="shared" si="5"/>
        <v>520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119</v>
      </c>
      <c r="B25" s="7">
        <f t="shared" si="4"/>
        <v>1090</v>
      </c>
      <c r="C25" s="7">
        <f>+T6+T15</f>
        <v>570</v>
      </c>
      <c r="D25" s="7">
        <f t="shared" si="5"/>
        <v>520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C62E-8372-41E7-9526-4BBAC7D8E345}">
  <sheetPr codeName="Sheet21"/>
  <dimension ref="A1:U27"/>
  <sheetViews>
    <sheetView workbookViewId="0">
      <selection activeCell="S5" sqref="S5"/>
    </sheetView>
  </sheetViews>
  <sheetFormatPr defaultRowHeight="15" x14ac:dyDescent="0.25"/>
  <cols>
    <col min="1" max="1" width="15.570312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6" width="9.140625" style="1"/>
    <col min="7" max="7" width="12.5703125" style="1" bestFit="1" customWidth="1"/>
    <col min="8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120</v>
      </c>
      <c r="B2" s="36">
        <v>30</v>
      </c>
      <c r="C2" s="36">
        <v>70</v>
      </c>
      <c r="D2" s="36">
        <v>30</v>
      </c>
      <c r="E2" s="36">
        <v>30</v>
      </c>
      <c r="F2" s="36"/>
      <c r="G2" s="36">
        <v>60</v>
      </c>
      <c r="H2" s="36"/>
      <c r="I2" s="36">
        <v>90</v>
      </c>
      <c r="J2" s="36"/>
      <c r="K2" s="36"/>
      <c r="L2" s="36"/>
      <c r="M2" s="36"/>
      <c r="N2" s="36">
        <v>0</v>
      </c>
      <c r="O2" s="36">
        <v>150</v>
      </c>
      <c r="P2" s="36"/>
      <c r="Q2" s="36"/>
      <c r="R2" s="36"/>
      <c r="S2" s="36"/>
      <c r="T2" s="8">
        <f>SUM(B2:S2)</f>
        <v>460</v>
      </c>
    </row>
    <row r="3" spans="1:20" x14ac:dyDescent="0.25">
      <c r="A3" s="35" t="s">
        <v>121</v>
      </c>
      <c r="B3" s="36">
        <v>30</v>
      </c>
      <c r="C3" s="36">
        <v>70</v>
      </c>
      <c r="D3" s="36"/>
      <c r="E3" s="36">
        <v>70</v>
      </c>
      <c r="F3" s="36"/>
      <c r="G3" s="36">
        <v>70</v>
      </c>
      <c r="H3" s="36"/>
      <c r="I3" s="36">
        <v>90</v>
      </c>
      <c r="J3" s="36"/>
      <c r="K3" s="36">
        <v>70</v>
      </c>
      <c r="L3" s="36"/>
      <c r="M3" s="36">
        <v>70</v>
      </c>
      <c r="N3" s="36">
        <v>0</v>
      </c>
      <c r="O3" s="36">
        <v>70</v>
      </c>
      <c r="P3" s="36"/>
      <c r="Q3" s="36">
        <v>70</v>
      </c>
      <c r="R3" s="36"/>
      <c r="S3" s="36">
        <v>70</v>
      </c>
      <c r="T3" s="8">
        <f t="shared" ref="T3:T8" si="0">SUM(B3:S3)</f>
        <v>680</v>
      </c>
    </row>
    <row r="4" spans="1:20" x14ac:dyDescent="0.25">
      <c r="A4" s="35" t="s">
        <v>122</v>
      </c>
      <c r="B4" s="36">
        <v>30</v>
      </c>
      <c r="C4" s="36">
        <v>30</v>
      </c>
      <c r="D4" s="36"/>
      <c r="E4" s="36">
        <v>70</v>
      </c>
      <c r="F4" s="36"/>
      <c r="G4" s="36">
        <v>70</v>
      </c>
      <c r="H4" s="36"/>
      <c r="I4" s="36">
        <v>90</v>
      </c>
      <c r="J4" s="36"/>
      <c r="K4" s="36">
        <v>70</v>
      </c>
      <c r="L4" s="36"/>
      <c r="M4" s="36">
        <v>70</v>
      </c>
      <c r="N4" s="36">
        <v>0</v>
      </c>
      <c r="O4" s="36">
        <v>70</v>
      </c>
      <c r="P4" s="36"/>
      <c r="Q4" s="36">
        <v>70</v>
      </c>
      <c r="R4" s="36"/>
      <c r="S4" s="36">
        <v>70</v>
      </c>
      <c r="T4" s="8">
        <f t="shared" si="0"/>
        <v>640</v>
      </c>
    </row>
    <row r="5" spans="1:20" x14ac:dyDescent="0.25">
      <c r="A5" s="35" t="s">
        <v>123</v>
      </c>
      <c r="B5" s="36">
        <v>30</v>
      </c>
      <c r="C5" s="36">
        <v>30</v>
      </c>
      <c r="D5" s="36">
        <v>30</v>
      </c>
      <c r="E5" s="36">
        <v>30</v>
      </c>
      <c r="F5" s="36"/>
      <c r="G5" s="36">
        <v>60</v>
      </c>
      <c r="H5" s="36"/>
      <c r="I5" s="36">
        <v>90</v>
      </c>
      <c r="J5" s="36"/>
      <c r="K5" s="36"/>
      <c r="L5" s="36"/>
      <c r="M5" s="36"/>
      <c r="N5" s="36">
        <v>0</v>
      </c>
      <c r="O5" s="36">
        <v>150</v>
      </c>
      <c r="P5" s="36"/>
      <c r="Q5" s="36"/>
      <c r="R5" s="36"/>
      <c r="S5" s="36"/>
      <c r="T5" s="8">
        <f t="shared" si="0"/>
        <v>420</v>
      </c>
    </row>
    <row r="6" spans="1:20" x14ac:dyDescent="0.25">
      <c r="A6" s="35" t="s">
        <v>150</v>
      </c>
      <c r="B6" s="36"/>
      <c r="C6" s="36"/>
      <c r="D6" s="36">
        <v>30</v>
      </c>
      <c r="E6" s="36"/>
      <c r="F6" s="36"/>
      <c r="G6" s="36">
        <v>90</v>
      </c>
      <c r="H6" s="36"/>
      <c r="I6" s="36">
        <v>90</v>
      </c>
      <c r="J6" s="36"/>
      <c r="K6" s="36"/>
      <c r="L6" s="36"/>
      <c r="M6" s="36">
        <v>134</v>
      </c>
      <c r="N6" s="36"/>
      <c r="O6" s="36"/>
      <c r="P6" s="36"/>
      <c r="Q6" s="36"/>
      <c r="R6" s="36"/>
      <c r="S6" s="36"/>
      <c r="T6" s="8">
        <f t="shared" si="0"/>
        <v>344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120</v>
      </c>
      <c r="C9" s="2">
        <f t="shared" ref="C9:T9" si="1">SUM(C2:C8)</f>
        <v>200</v>
      </c>
      <c r="D9" s="2">
        <f t="shared" si="1"/>
        <v>90</v>
      </c>
      <c r="E9" s="2">
        <f t="shared" si="1"/>
        <v>200</v>
      </c>
      <c r="F9" s="2">
        <f t="shared" si="1"/>
        <v>0</v>
      </c>
      <c r="G9" s="2">
        <f t="shared" si="1"/>
        <v>350</v>
      </c>
      <c r="H9" s="2">
        <f t="shared" si="1"/>
        <v>0</v>
      </c>
      <c r="I9" s="2">
        <f t="shared" si="1"/>
        <v>450</v>
      </c>
      <c r="J9" s="2">
        <f t="shared" si="1"/>
        <v>0</v>
      </c>
      <c r="K9" s="2">
        <f t="shared" si="1"/>
        <v>140</v>
      </c>
      <c r="L9" s="2">
        <f t="shared" si="1"/>
        <v>0</v>
      </c>
      <c r="M9" s="2">
        <f t="shared" si="1"/>
        <v>274</v>
      </c>
      <c r="N9" s="2">
        <f t="shared" si="1"/>
        <v>0</v>
      </c>
      <c r="O9" s="2">
        <f t="shared" si="1"/>
        <v>440</v>
      </c>
      <c r="P9" s="2">
        <f t="shared" si="1"/>
        <v>0</v>
      </c>
      <c r="Q9" s="2">
        <f t="shared" si="1"/>
        <v>140</v>
      </c>
      <c r="R9" s="2">
        <f t="shared" si="1"/>
        <v>0</v>
      </c>
      <c r="S9" s="2">
        <f t="shared" si="1"/>
        <v>140</v>
      </c>
      <c r="T9" s="22">
        <f t="shared" si="1"/>
        <v>2544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120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 t="s">
        <v>121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122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123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 t="s">
        <v>150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120</v>
      </c>
      <c r="B21" s="7">
        <f>(36*30)+10</f>
        <v>1090</v>
      </c>
      <c r="C21" s="7">
        <f>+T2+T11</f>
        <v>460</v>
      </c>
      <c r="D21" s="7">
        <f t="shared" ref="D21:D26" si="4">+B21-C21</f>
        <v>630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121</v>
      </c>
      <c r="B22" s="7">
        <f>(36*30)+10</f>
        <v>1090</v>
      </c>
      <c r="C22" s="7">
        <f>+T3+T12</f>
        <v>680</v>
      </c>
      <c r="D22" s="7">
        <f t="shared" si="4"/>
        <v>410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122</v>
      </c>
      <c r="B23" s="7">
        <f>(36*30)+10</f>
        <v>1090</v>
      </c>
      <c r="C23" s="7">
        <f>+T4+T13</f>
        <v>640</v>
      </c>
      <c r="D23" s="7">
        <f t="shared" si="4"/>
        <v>450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123</v>
      </c>
      <c r="B24" s="7">
        <f>(36*30)+10</f>
        <v>1090</v>
      </c>
      <c r="C24" s="7">
        <f>+T5+T14</f>
        <v>420</v>
      </c>
      <c r="D24" s="7">
        <f t="shared" si="4"/>
        <v>670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150</v>
      </c>
      <c r="B25" s="7">
        <f>(36*30)+10-13.25</f>
        <v>1076.75</v>
      </c>
      <c r="C25" s="7">
        <f>+T6+T15</f>
        <v>344</v>
      </c>
      <c r="D25" s="7">
        <f t="shared" si="4"/>
        <v>732.75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D202-F834-4315-89B0-583D5B5461B4}">
  <sheetPr codeName="Sheet22"/>
  <dimension ref="A1:U27"/>
  <sheetViews>
    <sheetView workbookViewId="0">
      <selection activeCell="R2" sqref="R2"/>
    </sheetView>
  </sheetViews>
  <sheetFormatPr defaultRowHeight="15" x14ac:dyDescent="0.25"/>
  <cols>
    <col min="1" max="1" width="16.28515625" bestFit="1" customWidth="1"/>
    <col min="2" max="2" width="12.5703125" style="1" bestFit="1" customWidth="1"/>
    <col min="3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19" width="9.140625" style="1"/>
    <col min="20" max="20" width="10.5703125" style="1" bestFit="1" customWidth="1"/>
    <col min="21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124</v>
      </c>
      <c r="B2" s="36">
        <v>30</v>
      </c>
      <c r="C2" s="36">
        <v>30</v>
      </c>
      <c r="D2" s="36"/>
      <c r="E2" s="36">
        <v>60</v>
      </c>
      <c r="F2" s="36"/>
      <c r="G2" s="36"/>
      <c r="H2" s="36">
        <v>60</v>
      </c>
      <c r="I2" s="36"/>
      <c r="J2" s="36">
        <v>120</v>
      </c>
      <c r="K2" s="36"/>
      <c r="L2" s="36">
        <v>30</v>
      </c>
      <c r="M2" s="36"/>
      <c r="N2" s="36">
        <v>60</v>
      </c>
      <c r="O2" s="36"/>
      <c r="P2" s="36"/>
      <c r="Q2" s="36"/>
      <c r="R2" s="36"/>
      <c r="S2" s="36"/>
      <c r="T2" s="8">
        <f>SUM(B2:S2)</f>
        <v>390</v>
      </c>
    </row>
    <row r="3" spans="1:20" x14ac:dyDescent="0.25">
      <c r="A3" s="35" t="s">
        <v>125</v>
      </c>
      <c r="B3" s="36"/>
      <c r="C3" s="36"/>
      <c r="D3" s="36"/>
      <c r="E3" s="36">
        <v>30</v>
      </c>
      <c r="F3" s="36"/>
      <c r="G3" s="36"/>
      <c r="H3" s="36"/>
      <c r="I3" s="36">
        <v>60</v>
      </c>
      <c r="J3" s="36">
        <v>180</v>
      </c>
      <c r="K3" s="36"/>
      <c r="L3" s="36"/>
      <c r="M3" s="36">
        <v>60</v>
      </c>
      <c r="N3" s="36">
        <v>30</v>
      </c>
      <c r="O3" s="36">
        <v>30</v>
      </c>
      <c r="P3" s="36">
        <v>30</v>
      </c>
      <c r="Q3" s="36"/>
      <c r="R3" s="36"/>
      <c r="S3" s="36"/>
      <c r="T3" s="8">
        <f t="shared" ref="T3:T8" si="0">SUM(B3:S3)</f>
        <v>420</v>
      </c>
    </row>
    <row r="4" spans="1:20" x14ac:dyDescent="0.25">
      <c r="A4" s="35" t="s">
        <v>126</v>
      </c>
      <c r="B4" s="36">
        <v>30</v>
      </c>
      <c r="C4" s="36"/>
      <c r="D4" s="36">
        <v>60</v>
      </c>
      <c r="E4" s="36">
        <v>30</v>
      </c>
      <c r="F4" s="36"/>
      <c r="G4" s="36">
        <v>60</v>
      </c>
      <c r="H4" s="36">
        <v>60</v>
      </c>
      <c r="I4" s="36">
        <v>60</v>
      </c>
      <c r="J4" s="36">
        <v>60</v>
      </c>
      <c r="K4" s="36"/>
      <c r="L4" s="36">
        <v>60</v>
      </c>
      <c r="M4" s="36"/>
      <c r="N4" s="36">
        <v>30</v>
      </c>
      <c r="O4" s="36"/>
      <c r="P4" s="36">
        <v>60</v>
      </c>
      <c r="Q4" s="36">
        <v>30</v>
      </c>
      <c r="R4" s="36"/>
      <c r="S4" s="36"/>
      <c r="T4" s="8">
        <f t="shared" si="0"/>
        <v>540</v>
      </c>
    </row>
    <row r="5" spans="1:20" x14ac:dyDescent="0.25">
      <c r="A5" s="35" t="s">
        <v>159</v>
      </c>
      <c r="B5" s="36"/>
      <c r="C5" s="36"/>
      <c r="D5" s="36"/>
      <c r="E5" s="36">
        <v>1064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1064</v>
      </c>
    </row>
    <row r="6" spans="1:20" x14ac:dyDescent="0.25">
      <c r="A6" s="35" t="s">
        <v>160</v>
      </c>
      <c r="B6" s="36"/>
      <c r="C6" s="36"/>
      <c r="D6" s="36">
        <v>22</v>
      </c>
      <c r="E6" s="36">
        <v>30</v>
      </c>
      <c r="F6" s="36"/>
      <c r="G6" s="36"/>
      <c r="H6" s="36"/>
      <c r="I6" s="36"/>
      <c r="J6" s="36"/>
      <c r="K6" s="36">
        <v>60</v>
      </c>
      <c r="L6" s="36">
        <v>90</v>
      </c>
      <c r="M6" s="36"/>
      <c r="N6" s="36"/>
      <c r="O6" s="36"/>
      <c r="P6" s="36"/>
      <c r="Q6" s="36"/>
      <c r="R6" s="36"/>
      <c r="S6" s="36"/>
      <c r="T6" s="8">
        <f t="shared" si="0"/>
        <v>202</v>
      </c>
    </row>
    <row r="7" spans="1:20" x14ac:dyDescent="0.25">
      <c r="A7" s="35"/>
      <c r="B7" s="36"/>
      <c r="C7" s="36"/>
      <c r="D7" s="36"/>
      <c r="E7" s="36"/>
      <c r="F7" s="36"/>
      <c r="G7" s="36"/>
      <c r="H7" s="36"/>
      <c r="I7" s="36"/>
      <c r="J7" s="36"/>
      <c r="K7" s="36">
        <v>0</v>
      </c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60</v>
      </c>
      <c r="C9" s="2">
        <f t="shared" ref="C9:T9" si="1">SUM(C2:C8)</f>
        <v>30</v>
      </c>
      <c r="D9" s="2">
        <f t="shared" si="1"/>
        <v>82</v>
      </c>
      <c r="E9" s="2">
        <f t="shared" si="1"/>
        <v>1214</v>
      </c>
      <c r="F9" s="2">
        <f t="shared" si="1"/>
        <v>0</v>
      </c>
      <c r="G9" s="2">
        <f t="shared" si="1"/>
        <v>60</v>
      </c>
      <c r="H9" s="2">
        <f t="shared" si="1"/>
        <v>120</v>
      </c>
      <c r="I9" s="2">
        <f t="shared" si="1"/>
        <v>120</v>
      </c>
      <c r="J9" s="2">
        <f t="shared" si="1"/>
        <v>360</v>
      </c>
      <c r="K9" s="2">
        <f t="shared" si="1"/>
        <v>60</v>
      </c>
      <c r="L9" s="2">
        <f t="shared" si="1"/>
        <v>180</v>
      </c>
      <c r="M9" s="2">
        <f t="shared" si="1"/>
        <v>60</v>
      </c>
      <c r="N9" s="2">
        <f t="shared" si="1"/>
        <v>120</v>
      </c>
      <c r="O9" s="2">
        <f t="shared" si="1"/>
        <v>30</v>
      </c>
      <c r="P9" s="2">
        <f t="shared" si="1"/>
        <v>90</v>
      </c>
      <c r="Q9" s="2">
        <f t="shared" si="1"/>
        <v>30</v>
      </c>
      <c r="R9" s="2">
        <f t="shared" si="1"/>
        <v>0</v>
      </c>
      <c r="S9" s="2">
        <f t="shared" si="1"/>
        <v>0</v>
      </c>
      <c r="T9" s="22">
        <f t="shared" si="1"/>
        <v>2616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124</v>
      </c>
      <c r="B21" s="7">
        <f>(36*30)+10</f>
        <v>1090</v>
      </c>
      <c r="C21" s="7">
        <f>+T2+T11</f>
        <v>390</v>
      </c>
      <c r="D21" s="7">
        <f t="shared" ref="D21:D26" si="4">+B21-C21</f>
        <v>700</v>
      </c>
      <c r="F21" s="36">
        <v>0</v>
      </c>
      <c r="G21" s="36">
        <v>0</v>
      </c>
      <c r="H21" s="8">
        <f t="shared" ref="H21:H26" si="5">+F21-G21</f>
        <v>0</v>
      </c>
      <c r="J21" s="2"/>
    </row>
    <row r="22" spans="1:20" x14ac:dyDescent="0.25">
      <c r="A22" s="35" t="s">
        <v>125</v>
      </c>
      <c r="B22" s="7">
        <f>(36*30)+10</f>
        <v>1090</v>
      </c>
      <c r="C22" s="7">
        <f>+T3+T12</f>
        <v>420</v>
      </c>
      <c r="D22" s="7">
        <f t="shared" si="4"/>
        <v>670</v>
      </c>
      <c r="F22" s="36">
        <v>0</v>
      </c>
      <c r="G22" s="36">
        <v>0</v>
      </c>
      <c r="H22" s="8">
        <f t="shared" si="5"/>
        <v>0</v>
      </c>
      <c r="J22" s="2"/>
    </row>
    <row r="23" spans="1:20" x14ac:dyDescent="0.25">
      <c r="A23" s="35" t="s">
        <v>126</v>
      </c>
      <c r="B23" s="7">
        <f>(36*30)+10</f>
        <v>1090</v>
      </c>
      <c r="C23" s="7">
        <f>+T4+T13</f>
        <v>540</v>
      </c>
      <c r="D23" s="7">
        <f t="shared" si="4"/>
        <v>550</v>
      </c>
      <c r="F23" s="36">
        <v>0</v>
      </c>
      <c r="G23" s="36">
        <v>0</v>
      </c>
      <c r="H23" s="8">
        <f t="shared" si="5"/>
        <v>0</v>
      </c>
      <c r="J23" s="2"/>
    </row>
    <row r="24" spans="1:20" x14ac:dyDescent="0.25">
      <c r="A24" s="35" t="s">
        <v>148</v>
      </c>
      <c r="B24" s="7">
        <f>(36*30)+10-13.25-13.25</f>
        <v>1063.5</v>
      </c>
      <c r="C24" s="7">
        <f>+T5+T14</f>
        <v>1064</v>
      </c>
      <c r="D24" s="7">
        <f t="shared" si="4"/>
        <v>-0.5</v>
      </c>
      <c r="F24" s="36">
        <v>0</v>
      </c>
      <c r="G24" s="36">
        <v>0</v>
      </c>
      <c r="H24" s="8">
        <f t="shared" si="5"/>
        <v>0</v>
      </c>
      <c r="J24" s="2"/>
    </row>
    <row r="25" spans="1:20" x14ac:dyDescent="0.25">
      <c r="A25" s="35" t="s">
        <v>160</v>
      </c>
      <c r="B25" s="7">
        <f>(36*30)+10-13.25-13.25</f>
        <v>1063.5</v>
      </c>
      <c r="C25" s="7">
        <f>+T6+T15</f>
        <v>202</v>
      </c>
      <c r="D25" s="7">
        <f t="shared" si="4"/>
        <v>861.5</v>
      </c>
      <c r="F25" s="36">
        <v>0</v>
      </c>
      <c r="G25" s="36">
        <v>0</v>
      </c>
      <c r="H25" s="8">
        <f t="shared" si="5"/>
        <v>0</v>
      </c>
      <c r="J25" s="2"/>
    </row>
    <row r="26" spans="1:20" ht="15.75" thickBot="1" x14ac:dyDescent="0.3">
      <c r="A26" s="11">
        <v>6</v>
      </c>
      <c r="B26" s="14">
        <f>(36*30)+10</f>
        <v>1090</v>
      </c>
      <c r="C26" s="14">
        <f>+T7+T18</f>
        <v>0</v>
      </c>
      <c r="D26" s="14">
        <f t="shared" si="4"/>
        <v>1090</v>
      </c>
      <c r="E26" s="12"/>
      <c r="F26" s="38">
        <v>0</v>
      </c>
      <c r="G26" s="38">
        <v>0</v>
      </c>
      <c r="H26" s="13">
        <f t="shared" si="5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B06A-DF55-4410-89ED-B3A68547C48A}">
  <sheetPr codeName="Sheet23"/>
  <dimension ref="A1:U27"/>
  <sheetViews>
    <sheetView workbookViewId="0">
      <selection activeCell="A22" sqref="A22"/>
    </sheetView>
  </sheetViews>
  <sheetFormatPr defaultRowHeight="15" x14ac:dyDescent="0.25"/>
  <cols>
    <col min="1" max="1" width="16.71093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155</v>
      </c>
      <c r="B2" s="36"/>
      <c r="C2" s="36"/>
      <c r="D2" s="36">
        <v>30</v>
      </c>
      <c r="E2" s="36">
        <v>30</v>
      </c>
      <c r="F2" s="36">
        <v>30</v>
      </c>
      <c r="G2" s="36">
        <v>60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8">
        <f>SUM(B2:S2)</f>
        <v>150</v>
      </c>
    </row>
    <row r="3" spans="1:20" x14ac:dyDescent="0.25">
      <c r="A3" s="35"/>
      <c r="B3" s="36"/>
      <c r="C3" s="36"/>
      <c r="D3" s="36">
        <v>30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30</v>
      </c>
    </row>
    <row r="4" spans="1:20" x14ac:dyDescent="0.25">
      <c r="A4" s="35" t="s">
        <v>156</v>
      </c>
      <c r="B4" s="36"/>
      <c r="C4" s="36"/>
      <c r="D4" s="36">
        <v>30</v>
      </c>
      <c r="E4" s="36">
        <v>30</v>
      </c>
      <c r="F4" s="36">
        <v>30</v>
      </c>
      <c r="G4" s="36">
        <v>60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8">
        <f t="shared" si="0"/>
        <v>150</v>
      </c>
    </row>
    <row r="5" spans="1:20" x14ac:dyDescent="0.25">
      <c r="A5" s="35" t="s">
        <v>157</v>
      </c>
      <c r="B5" s="36"/>
      <c r="C5" s="36"/>
      <c r="D5" s="36">
        <v>30</v>
      </c>
      <c r="E5" s="36">
        <v>30</v>
      </c>
      <c r="F5" s="36">
        <v>60</v>
      </c>
      <c r="G5" s="36">
        <v>30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150</v>
      </c>
    </row>
    <row r="6" spans="1:20" x14ac:dyDescent="0.25">
      <c r="A6" s="35" t="s">
        <v>158</v>
      </c>
      <c r="B6" s="36"/>
      <c r="C6" s="36"/>
      <c r="D6" s="36"/>
      <c r="E6" s="36">
        <v>30</v>
      </c>
      <c r="F6" s="36">
        <v>30</v>
      </c>
      <c r="G6" s="36">
        <v>60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8">
        <f t="shared" si="0"/>
        <v>120</v>
      </c>
    </row>
    <row r="7" spans="1:20" x14ac:dyDescent="0.25">
      <c r="A7" s="35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0</v>
      </c>
      <c r="C9" s="2">
        <f t="shared" ref="C9:T9" si="1">SUM(C2:C8)</f>
        <v>0</v>
      </c>
      <c r="D9" s="2">
        <f t="shared" si="1"/>
        <v>120</v>
      </c>
      <c r="E9" s="2">
        <f t="shared" si="1"/>
        <v>120</v>
      </c>
      <c r="F9" s="2">
        <f t="shared" si="1"/>
        <v>150</v>
      </c>
      <c r="G9" s="2">
        <f t="shared" si="1"/>
        <v>210</v>
      </c>
      <c r="H9" s="2">
        <f t="shared" si="1"/>
        <v>0</v>
      </c>
      <c r="I9" s="2">
        <f t="shared" si="1"/>
        <v>0</v>
      </c>
      <c r="J9" s="2">
        <f t="shared" si="1"/>
        <v>0</v>
      </c>
      <c r="K9" s="2">
        <f t="shared" si="1"/>
        <v>0</v>
      </c>
      <c r="L9" s="2">
        <f t="shared" si="1"/>
        <v>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f t="shared" si="1"/>
        <v>0</v>
      </c>
      <c r="Q9" s="2">
        <f t="shared" si="1"/>
        <v>0</v>
      </c>
      <c r="R9" s="2">
        <f t="shared" si="1"/>
        <v>0</v>
      </c>
      <c r="S9" s="2">
        <f t="shared" si="1"/>
        <v>0</v>
      </c>
      <c r="T9" s="22">
        <f t="shared" si="1"/>
        <v>600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 t="s">
        <v>155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 t="s">
        <v>156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 t="s">
        <v>157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 t="s">
        <v>158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155</v>
      </c>
      <c r="B21" s="7">
        <f t="shared" ref="B21:B26" si="4">(36*30)+10</f>
        <v>1090</v>
      </c>
      <c r="C21" s="7">
        <f>+T2+T11</f>
        <v>150</v>
      </c>
      <c r="D21" s="7">
        <f t="shared" ref="D21:D26" si="5">+B21-C21</f>
        <v>940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/>
      <c r="B22" s="7">
        <f t="shared" si="4"/>
        <v>1090</v>
      </c>
      <c r="C22" s="7">
        <f>+T3+T12</f>
        <v>30</v>
      </c>
      <c r="D22" s="7">
        <f t="shared" si="5"/>
        <v>1060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156</v>
      </c>
      <c r="B23" s="7">
        <f t="shared" si="4"/>
        <v>1090</v>
      </c>
      <c r="C23" s="7">
        <f>+T4+T13</f>
        <v>150</v>
      </c>
      <c r="D23" s="7">
        <f t="shared" si="5"/>
        <v>940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157</v>
      </c>
      <c r="B24" s="7">
        <f t="shared" si="4"/>
        <v>1090</v>
      </c>
      <c r="C24" s="7">
        <f>+T5+T14</f>
        <v>150</v>
      </c>
      <c r="D24" s="7">
        <f t="shared" si="5"/>
        <v>940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158</v>
      </c>
      <c r="B25" s="7">
        <f t="shared" si="4"/>
        <v>1090</v>
      </c>
      <c r="C25" s="7">
        <f>+T6+T15</f>
        <v>120</v>
      </c>
      <c r="D25" s="7">
        <f t="shared" si="5"/>
        <v>970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0</v>
      </c>
      <c r="D26" s="14">
        <f t="shared" si="5"/>
        <v>1090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851A-BEBA-4B24-A73C-8A9D8B046CA3}">
  <sheetPr codeName="Sheet16"/>
  <dimension ref="A1:U27"/>
  <sheetViews>
    <sheetView workbookViewId="0">
      <selection activeCell="D26" sqref="D26"/>
    </sheetView>
  </sheetViews>
  <sheetFormatPr defaultRowHeight="15" x14ac:dyDescent="0.25"/>
  <cols>
    <col min="1" max="1" width="15.7109375" bestFit="1" customWidth="1"/>
    <col min="2" max="2" width="12.5703125" style="1" bestFit="1" customWidth="1"/>
    <col min="3" max="3" width="9.5703125" style="1" bestFit="1" customWidth="1"/>
    <col min="4" max="5" width="10.5703125" style="1" bestFit="1" customWidth="1"/>
    <col min="6" max="9" width="9.140625" style="1"/>
    <col min="10" max="10" width="9.85546875" style="1" bestFit="1" customWidth="1"/>
    <col min="11" max="11" width="13.140625" style="1" bestFit="1" customWidth="1"/>
    <col min="12" max="21" width="9.140625" style="1"/>
  </cols>
  <sheetData>
    <row r="1" spans="1:20" x14ac:dyDescent="0.25">
      <c r="A1" s="3" t="s">
        <v>38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5"/>
    </row>
    <row r="2" spans="1:20" x14ac:dyDescent="0.25">
      <c r="A2" s="35" t="s">
        <v>97</v>
      </c>
      <c r="B2" s="36">
        <v>30</v>
      </c>
      <c r="C2" s="36"/>
      <c r="D2" s="36">
        <v>30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8">
        <f>SUM(B2:S2)</f>
        <v>60</v>
      </c>
    </row>
    <row r="3" spans="1:20" x14ac:dyDescent="0.25">
      <c r="A3" s="35" t="s">
        <v>98</v>
      </c>
      <c r="B3" s="36">
        <v>30</v>
      </c>
      <c r="C3" s="36"/>
      <c r="D3" s="36">
        <v>30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8">
        <f t="shared" ref="T3:T8" si="0">SUM(B3:S3)</f>
        <v>60</v>
      </c>
    </row>
    <row r="4" spans="1:20" x14ac:dyDescent="0.25">
      <c r="A4" s="35" t="s">
        <v>99</v>
      </c>
      <c r="B4" s="36">
        <v>90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8">
        <f t="shared" si="0"/>
        <v>90</v>
      </c>
    </row>
    <row r="5" spans="1:20" x14ac:dyDescent="0.25">
      <c r="A5" s="35" t="s">
        <v>101</v>
      </c>
      <c r="B5" s="36">
        <v>90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8">
        <f t="shared" si="0"/>
        <v>90</v>
      </c>
    </row>
    <row r="6" spans="1:20" x14ac:dyDescent="0.25">
      <c r="A6" s="35" t="s">
        <v>100</v>
      </c>
      <c r="B6" s="36">
        <v>90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8">
        <f t="shared" si="0"/>
        <v>90</v>
      </c>
    </row>
    <row r="7" spans="1:20" x14ac:dyDescent="0.25">
      <c r="A7" s="35" t="s">
        <v>147</v>
      </c>
      <c r="B7" s="36"/>
      <c r="C7" s="36">
        <v>30</v>
      </c>
      <c r="D7" s="36">
        <v>30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8">
        <f t="shared" si="0"/>
        <v>60</v>
      </c>
    </row>
    <row r="8" spans="1:20" x14ac:dyDescent="0.25">
      <c r="A8" s="35" t="s">
        <v>44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8">
        <f t="shared" si="0"/>
        <v>0</v>
      </c>
    </row>
    <row r="9" spans="1:20" x14ac:dyDescent="0.25">
      <c r="A9" s="9"/>
      <c r="B9" s="2">
        <f>SUM(B2:B8)</f>
        <v>330</v>
      </c>
      <c r="C9" s="2">
        <f t="shared" ref="C9:T9" si="1">SUM(C2:C8)</f>
        <v>30</v>
      </c>
      <c r="D9" s="2">
        <f t="shared" si="1"/>
        <v>90</v>
      </c>
      <c r="E9" s="2">
        <f t="shared" si="1"/>
        <v>0</v>
      </c>
      <c r="F9" s="2">
        <f t="shared" si="1"/>
        <v>0</v>
      </c>
      <c r="G9" s="2">
        <f t="shared" si="1"/>
        <v>0</v>
      </c>
      <c r="H9" s="2">
        <f t="shared" si="1"/>
        <v>0</v>
      </c>
      <c r="I9" s="2">
        <f t="shared" si="1"/>
        <v>0</v>
      </c>
      <c r="J9" s="2">
        <f t="shared" si="1"/>
        <v>0</v>
      </c>
      <c r="K9" s="2">
        <f t="shared" si="1"/>
        <v>0</v>
      </c>
      <c r="L9" s="2">
        <f t="shared" si="1"/>
        <v>0</v>
      </c>
      <c r="M9" s="2">
        <f t="shared" si="1"/>
        <v>0</v>
      </c>
      <c r="N9" s="2">
        <f t="shared" si="1"/>
        <v>0</v>
      </c>
      <c r="O9" s="2">
        <f t="shared" si="1"/>
        <v>0</v>
      </c>
      <c r="P9" s="2">
        <f t="shared" si="1"/>
        <v>0</v>
      </c>
      <c r="Q9" s="2">
        <f t="shared" si="1"/>
        <v>0</v>
      </c>
      <c r="R9" s="2">
        <f t="shared" si="1"/>
        <v>0</v>
      </c>
      <c r="S9" s="2">
        <f t="shared" si="1"/>
        <v>0</v>
      </c>
      <c r="T9" s="22">
        <f t="shared" si="1"/>
        <v>450</v>
      </c>
    </row>
    <row r="10" spans="1:20" x14ac:dyDescent="0.25">
      <c r="A10" s="9" t="s">
        <v>38</v>
      </c>
      <c r="B10" s="1">
        <v>19</v>
      </c>
      <c r="C10" s="1">
        <v>20</v>
      </c>
      <c r="D10" s="1">
        <v>21</v>
      </c>
      <c r="E10" s="1">
        <v>22</v>
      </c>
      <c r="F10" s="1">
        <v>23</v>
      </c>
      <c r="G10" s="1">
        <v>24</v>
      </c>
      <c r="H10" s="1">
        <v>25</v>
      </c>
      <c r="I10" s="1">
        <v>26</v>
      </c>
      <c r="J10" s="1">
        <v>27</v>
      </c>
      <c r="K10" s="1">
        <v>28</v>
      </c>
      <c r="L10" s="1">
        <v>29</v>
      </c>
      <c r="M10" s="1">
        <v>30</v>
      </c>
      <c r="N10" s="1">
        <v>31</v>
      </c>
      <c r="O10" s="1">
        <v>32</v>
      </c>
      <c r="P10" s="1">
        <v>33</v>
      </c>
      <c r="Q10" s="1">
        <v>34</v>
      </c>
      <c r="R10" s="1">
        <v>35</v>
      </c>
      <c r="S10" s="1">
        <v>36</v>
      </c>
      <c r="T10" s="10"/>
    </row>
    <row r="11" spans="1:20" x14ac:dyDescent="0.25">
      <c r="A11" s="35">
        <v>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8">
        <f>SUM(B11:S11)</f>
        <v>0</v>
      </c>
    </row>
    <row r="12" spans="1:20" x14ac:dyDescent="0.25">
      <c r="A12" s="35">
        <v>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8">
        <f t="shared" ref="T12:T17" si="2">SUM(B12:S12)</f>
        <v>0</v>
      </c>
    </row>
    <row r="13" spans="1:20" x14ac:dyDescent="0.25">
      <c r="A13" s="35">
        <v>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8">
        <f t="shared" si="2"/>
        <v>0</v>
      </c>
    </row>
    <row r="14" spans="1:20" x14ac:dyDescent="0.25">
      <c r="A14" s="35">
        <v>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8">
        <f t="shared" si="2"/>
        <v>0</v>
      </c>
    </row>
    <row r="15" spans="1:20" x14ac:dyDescent="0.25">
      <c r="A15" s="35">
        <v>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8">
        <f t="shared" si="2"/>
        <v>0</v>
      </c>
    </row>
    <row r="16" spans="1:20" x14ac:dyDescent="0.25">
      <c r="A16" s="35">
        <v>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8">
        <f t="shared" si="2"/>
        <v>0</v>
      </c>
    </row>
    <row r="17" spans="1:20" x14ac:dyDescent="0.25">
      <c r="A17" s="35" t="s">
        <v>44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8">
        <f t="shared" si="2"/>
        <v>0</v>
      </c>
    </row>
    <row r="18" spans="1:20" ht="15.75" thickBot="1" x14ac:dyDescent="0.3">
      <c r="A18" s="11"/>
      <c r="B18" s="15">
        <f>SUM(B11:B17)</f>
        <v>0</v>
      </c>
      <c r="C18" s="15">
        <f t="shared" ref="C18:T18" si="3">SUM(C11:C17)</f>
        <v>0</v>
      </c>
      <c r="D18" s="15">
        <f t="shared" si="3"/>
        <v>0</v>
      </c>
      <c r="E18" s="15">
        <f t="shared" si="3"/>
        <v>0</v>
      </c>
      <c r="F18" s="15">
        <f t="shared" si="3"/>
        <v>0</v>
      </c>
      <c r="G18" s="15">
        <f t="shared" si="3"/>
        <v>0</v>
      </c>
      <c r="H18" s="15">
        <f t="shared" si="3"/>
        <v>0</v>
      </c>
      <c r="I18" s="15">
        <f t="shared" si="3"/>
        <v>0</v>
      </c>
      <c r="J18" s="15">
        <f t="shared" si="3"/>
        <v>0</v>
      </c>
      <c r="K18" s="15">
        <f t="shared" si="3"/>
        <v>0</v>
      </c>
      <c r="L18" s="15">
        <f t="shared" si="3"/>
        <v>0</v>
      </c>
      <c r="M18" s="15">
        <f t="shared" si="3"/>
        <v>0</v>
      </c>
      <c r="N18" s="15">
        <f t="shared" si="3"/>
        <v>0</v>
      </c>
      <c r="O18" s="15">
        <f t="shared" si="3"/>
        <v>0</v>
      </c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3">
        <f t="shared" si="3"/>
        <v>0</v>
      </c>
    </row>
    <row r="19" spans="1:20" ht="15.75" thickBot="1" x14ac:dyDescent="0.3"/>
    <row r="20" spans="1:20" x14ac:dyDescent="0.25">
      <c r="A20" s="3" t="s">
        <v>38</v>
      </c>
      <c r="B20" s="4" t="s">
        <v>45</v>
      </c>
      <c r="C20" s="4" t="s">
        <v>46</v>
      </c>
      <c r="D20" s="4" t="s">
        <v>47</v>
      </c>
      <c r="E20" s="4"/>
      <c r="F20" s="4" t="s">
        <v>48</v>
      </c>
      <c r="G20" s="4" t="s">
        <v>46</v>
      </c>
      <c r="H20" s="5" t="s">
        <v>47</v>
      </c>
    </row>
    <row r="21" spans="1:20" x14ac:dyDescent="0.25">
      <c r="A21" s="35" t="s">
        <v>97</v>
      </c>
      <c r="B21" s="7">
        <f t="shared" ref="B21:B26" si="4">(36*30)+10</f>
        <v>1090</v>
      </c>
      <c r="C21" s="7">
        <f>+T2+T11</f>
        <v>60</v>
      </c>
      <c r="D21" s="7">
        <f t="shared" ref="D21:D26" si="5">+B21-C21</f>
        <v>1030</v>
      </c>
      <c r="F21" s="36">
        <v>0</v>
      </c>
      <c r="G21" s="36">
        <v>0</v>
      </c>
      <c r="H21" s="8">
        <f t="shared" ref="H21:H26" si="6">+F21-G21</f>
        <v>0</v>
      </c>
      <c r="J21" s="2"/>
    </row>
    <row r="22" spans="1:20" x14ac:dyDescent="0.25">
      <c r="A22" s="35" t="s">
        <v>98</v>
      </c>
      <c r="B22" s="7">
        <f t="shared" si="4"/>
        <v>1090</v>
      </c>
      <c r="C22" s="7">
        <f>+T3+T12</f>
        <v>60</v>
      </c>
      <c r="D22" s="7">
        <f t="shared" si="5"/>
        <v>1030</v>
      </c>
      <c r="F22" s="36">
        <v>0</v>
      </c>
      <c r="G22" s="36">
        <v>0</v>
      </c>
      <c r="H22" s="8">
        <f t="shared" si="6"/>
        <v>0</v>
      </c>
      <c r="J22" s="2"/>
    </row>
    <row r="23" spans="1:20" x14ac:dyDescent="0.25">
      <c r="A23" s="35" t="s">
        <v>99</v>
      </c>
      <c r="B23" s="7">
        <f t="shared" si="4"/>
        <v>1090</v>
      </c>
      <c r="C23" s="7">
        <f>+T4+T13</f>
        <v>90</v>
      </c>
      <c r="D23" s="7">
        <f t="shared" si="5"/>
        <v>1000</v>
      </c>
      <c r="F23" s="36">
        <v>0</v>
      </c>
      <c r="G23" s="36">
        <v>0</v>
      </c>
      <c r="H23" s="8">
        <f t="shared" si="6"/>
        <v>0</v>
      </c>
      <c r="J23" s="2"/>
    </row>
    <row r="24" spans="1:20" x14ac:dyDescent="0.25">
      <c r="A24" s="35" t="s">
        <v>101</v>
      </c>
      <c r="B24" s="7">
        <f t="shared" si="4"/>
        <v>1090</v>
      </c>
      <c r="C24" s="7">
        <f>+T5+T14</f>
        <v>90</v>
      </c>
      <c r="D24" s="7">
        <f t="shared" si="5"/>
        <v>1000</v>
      </c>
      <c r="F24" s="36">
        <v>0</v>
      </c>
      <c r="G24" s="36">
        <v>0</v>
      </c>
      <c r="H24" s="8">
        <f t="shared" si="6"/>
        <v>0</v>
      </c>
      <c r="J24" s="2"/>
    </row>
    <row r="25" spans="1:20" x14ac:dyDescent="0.25">
      <c r="A25" s="35" t="s">
        <v>100</v>
      </c>
      <c r="B25" s="7">
        <f t="shared" si="4"/>
        <v>1090</v>
      </c>
      <c r="C25" s="7">
        <f>+T6+T15</f>
        <v>90</v>
      </c>
      <c r="D25" s="7">
        <f t="shared" si="5"/>
        <v>1000</v>
      </c>
      <c r="F25" s="36">
        <v>0</v>
      </c>
      <c r="G25" s="36">
        <v>0</v>
      </c>
      <c r="H25" s="8">
        <f t="shared" si="6"/>
        <v>0</v>
      </c>
      <c r="J25" s="2"/>
    </row>
    <row r="26" spans="1:20" ht="15.75" thickBot="1" x14ac:dyDescent="0.3">
      <c r="A26" s="11">
        <v>6</v>
      </c>
      <c r="B26" s="14">
        <f t="shared" si="4"/>
        <v>1090</v>
      </c>
      <c r="C26" s="14">
        <f>+T7+T18</f>
        <v>60</v>
      </c>
      <c r="D26" s="14">
        <f t="shared" si="5"/>
        <v>1030</v>
      </c>
      <c r="E26" s="12"/>
      <c r="F26" s="38">
        <v>0</v>
      </c>
      <c r="G26" s="38">
        <v>0</v>
      </c>
      <c r="H26" s="13">
        <f t="shared" si="6"/>
        <v>0</v>
      </c>
      <c r="J26" s="2"/>
    </row>
    <row r="27" spans="1:20" x14ac:dyDescent="0.25">
      <c r="F27" s="1" t="s">
        <v>10</v>
      </c>
      <c r="G27" s="2">
        <f>SUM(G21:G26)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1st Qtr</vt:lpstr>
      <vt:lpstr>2nd Qtr</vt:lpstr>
      <vt:lpstr>3rd Qtr</vt:lpstr>
      <vt:lpstr>4th Qtr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20</vt:lpstr>
      <vt:lpstr>13</vt:lpstr>
      <vt:lpstr>14</vt:lpstr>
      <vt:lpstr>15</vt:lpstr>
      <vt:lpstr>16</vt:lpstr>
      <vt:lpstr>17</vt:lpstr>
      <vt:lpstr>18</vt:lpstr>
      <vt:lpstr>19</vt:lpstr>
      <vt:lpstr>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Vandenberg</dc:creator>
  <cp:keywords/>
  <dc:description/>
  <cp:lastModifiedBy>Glenna Morris</cp:lastModifiedBy>
  <cp:revision/>
  <dcterms:created xsi:type="dcterms:W3CDTF">2025-07-01T01:48:30Z</dcterms:created>
  <dcterms:modified xsi:type="dcterms:W3CDTF">2025-12-16T02:27:17Z</dcterms:modified>
  <cp:category/>
  <cp:contentStatus/>
</cp:coreProperties>
</file>